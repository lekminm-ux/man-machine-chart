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16c04e9e107df29/33.INJ BU_One Drive/39.TPS Activity/Standardized Work/"/>
    </mc:Choice>
  </mc:AlternateContent>
  <xr:revisionPtr revIDLastSave="3" documentId="11_D666A9E929A58410BE1D63A12D6BAFDB5E755147" xr6:coauthVersionLast="47" xr6:coauthVersionMax="47" xr10:uidLastSave="{96612C38-6582-44F9-8397-47E0C198DFF9}"/>
  <bookViews>
    <workbookView xWindow="-108" yWindow="-108" windowWidth="23256" windowHeight="12576" activeTab="1" xr2:uid="{00000000-000D-0000-FFFF-FFFF00000000}"/>
  </bookViews>
  <sheets>
    <sheet name="ตารางจับเวลา" sheetId="1" r:id="rId1"/>
    <sheet name="Machine Capacity Sheet" sheetId="6" r:id="rId2"/>
    <sheet name="std.com table" sheetId="8" r:id="rId3"/>
    <sheet name="std.work chart" sheetId="5" r:id="rId4"/>
    <sheet name="yamazumi chart" sheetId="3" r:id="rId5"/>
    <sheet name="kaizen" sheetId="4" r:id="rId6"/>
  </sheets>
  <definedNames>
    <definedName name="_xlnm.Print_Area" localSheetId="1">'Machine Capacity Sheet'!$A$1:$W$27</definedName>
    <definedName name="_xlnm.Print_Area" localSheetId="2">'std.com table'!$A$1:$R$42</definedName>
    <definedName name="_xlnm.Print_Area" localSheetId="4">'yamazumi chart'!$A$1:$BF$44</definedName>
    <definedName name="_xlnm.Print_Area" localSheetId="0">ตารางจับเวลา!$A$1:$Q$38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8" l="1"/>
  <c r="E41" i="8"/>
  <c r="E42" i="8" s="1"/>
  <c r="P7" i="8" s="1"/>
  <c r="H11" i="8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R17" i="1" l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BD43" i="3"/>
  <c r="AW43" i="3"/>
  <c r="AP43" i="3"/>
  <c r="AI43" i="3"/>
  <c r="AB43" i="3"/>
  <c r="U43" i="3"/>
  <c r="N43" i="3"/>
  <c r="G43" i="3"/>
  <c r="R16" i="1"/>
  <c r="R15" i="1"/>
  <c r="R14" i="1"/>
  <c r="R13" i="1"/>
  <c r="R12" i="1"/>
  <c r="R11" i="1"/>
  <c r="R10" i="1"/>
  <c r="R9" i="1"/>
  <c r="R8" i="1"/>
  <c r="R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anan.ma</author>
  </authors>
  <commentList>
    <comment ref="P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anan.ma:</t>
        </r>
        <r>
          <rPr>
            <sz val="9"/>
            <color indexed="81"/>
            <rFont val="Tahoma"/>
            <family val="2"/>
          </rPr>
          <t xml:space="preserve">
ส่วนแกว่ง ระหว่าง Min กับ Max. (Max-Min)</t>
        </r>
      </text>
    </comment>
  </commentList>
</comments>
</file>

<file path=xl/sharedStrings.xml><?xml version="1.0" encoding="utf-8"?>
<sst xmlns="http://schemas.openxmlformats.org/spreadsheetml/2006/main" count="174" uniqueCount="109">
  <si>
    <t xml:space="preserve">Part Name : </t>
  </si>
  <si>
    <t xml:space="preserve">Part Number : </t>
  </si>
  <si>
    <t>Day :</t>
  </si>
  <si>
    <t>Report :</t>
  </si>
  <si>
    <t>Seq</t>
  </si>
  <si>
    <t>Job Element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</si>
  <si>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</si>
  <si>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</si>
  <si>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</si>
  <si>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</si>
  <si>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</si>
  <si>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</si>
  <si>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</si>
  <si>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</si>
  <si>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</si>
  <si>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</si>
  <si>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Min.</t>
  </si>
  <si>
    <t>Max.</t>
  </si>
  <si>
    <t>Fluc.</t>
  </si>
  <si>
    <t>Aver.</t>
  </si>
  <si>
    <t>TOTAL</t>
  </si>
  <si>
    <t>APPROVED</t>
  </si>
  <si>
    <t>CHECKED</t>
  </si>
  <si>
    <t>REPORTED</t>
  </si>
  <si>
    <t>Part Number :</t>
  </si>
  <si>
    <t>ลำดับของพนักงาน</t>
  </si>
  <si>
    <t>ตารางรวมงานมาตรฐาน</t>
  </si>
  <si>
    <t>ความต้องการของลูกค้า (คันชุด/เดือน)</t>
  </si>
  <si>
    <t>Speed (วินาที/คันชุด)</t>
  </si>
  <si>
    <t>สัญลักษณ์ (Symbol)</t>
  </si>
  <si>
    <t>วันที่บันทึก</t>
  </si>
  <si>
    <t>คน</t>
  </si>
  <si>
    <t>Part Name :</t>
  </si>
  <si>
    <t>Process No.</t>
  </si>
  <si>
    <t>(HYOJUN SAGYO KUMIAWASE HYO)</t>
  </si>
  <si>
    <t>จำนวนที่ต้องการ (คันชุด/วัน)</t>
  </si>
  <si>
    <t>Takt Time (วินาที/คันชุด)</t>
  </si>
  <si>
    <t>เครื่อง</t>
  </si>
  <si>
    <t>เดิน</t>
  </si>
  <si>
    <t>วินาที (Sec)</t>
  </si>
  <si>
    <t>BEFORE KAIZEN</t>
  </si>
  <si>
    <t>AFTER KAIZEN</t>
  </si>
  <si>
    <t>รองาน</t>
  </si>
  <si>
    <t>No.</t>
  </si>
  <si>
    <t xml:space="preserve">Process : </t>
  </si>
  <si>
    <t>Total Time (Sec)</t>
  </si>
  <si>
    <t xml:space="preserve">หมายเหตุ: </t>
  </si>
  <si>
    <t>รวม</t>
  </si>
  <si>
    <t xml:space="preserve">     </t>
  </si>
  <si>
    <t>Line :</t>
  </si>
  <si>
    <t>OPERATOR  1</t>
  </si>
  <si>
    <t>OPERATOR  2</t>
  </si>
  <si>
    <t>OPERATOR  3</t>
  </si>
  <si>
    <t>OPERATOR  5</t>
  </si>
  <si>
    <t>Detail</t>
  </si>
  <si>
    <t>Sec.</t>
  </si>
  <si>
    <t>T.T.</t>
  </si>
  <si>
    <t>OPERATOR  4</t>
  </si>
  <si>
    <t>OPERATOR  6</t>
  </si>
  <si>
    <t>OPERATOR  7</t>
  </si>
  <si>
    <t>OPERATOR  8</t>
  </si>
  <si>
    <t>SUMMIT AUTO SEATS INDUSTRY CO., LTD.</t>
  </si>
  <si>
    <t>ซัมมิท โอโตซีท อินดัสตรี จำกัด</t>
  </si>
  <si>
    <t>TIME MEASUREMENT SHEET</t>
  </si>
  <si>
    <t>LINE :</t>
  </si>
  <si>
    <t>KAIZEN SHEET</t>
  </si>
  <si>
    <t>BEFORE</t>
  </si>
  <si>
    <t>AFTER</t>
  </si>
  <si>
    <t>Problem :</t>
  </si>
  <si>
    <t>Solution :</t>
  </si>
  <si>
    <t>RESULT</t>
  </si>
  <si>
    <t>RESPONSE</t>
  </si>
  <si>
    <t>EVA</t>
  </si>
  <si>
    <t>Line</t>
  </si>
  <si>
    <t>HYOJUN SAGYO HYO</t>
  </si>
  <si>
    <t>ผู้บันทึก………………………………………………</t>
  </si>
  <si>
    <t>Part No.</t>
  </si>
  <si>
    <t>แผนภาพงานมาตรฐาน</t>
  </si>
  <si>
    <t>Approved</t>
  </si>
  <si>
    <t>Check</t>
  </si>
  <si>
    <t>Report by</t>
  </si>
  <si>
    <t>จาก</t>
  </si>
  <si>
    <t>Before</t>
  </si>
  <si>
    <t>After</t>
  </si>
  <si>
    <t>ถึง</t>
  </si>
  <si>
    <t>การตรวจสอบคุณภาพ</t>
  </si>
  <si>
    <t>ระวังความปลอดภัย</t>
  </si>
  <si>
    <t>สต็อกมาตรฐานในกระบวนการ</t>
  </si>
  <si>
    <t>จำนวนสต็อก</t>
  </si>
  <si>
    <t>มาตรฐานในกระบวนการ</t>
  </si>
  <si>
    <t>แทกค์ไทม์</t>
  </si>
  <si>
    <t>ไซเคิลม์ไทม็</t>
  </si>
  <si>
    <t>Part Name.</t>
  </si>
  <si>
    <t xml:space="preserve">Machine Capacity Sheet </t>
  </si>
  <si>
    <t>ใบแสดงความสามารถของเครื่องจักร</t>
  </si>
  <si>
    <t>Process Name</t>
  </si>
  <si>
    <t>Machine No.</t>
  </si>
  <si>
    <t>Basic Time</t>
  </si>
  <si>
    <t>Tool Change</t>
  </si>
  <si>
    <t>Manua Time</t>
  </si>
  <si>
    <t>Auto Time</t>
  </si>
  <si>
    <t>Completion Time</t>
  </si>
  <si>
    <t>Change</t>
  </si>
  <si>
    <t>Time</t>
  </si>
  <si>
    <t>Time/Unit</t>
  </si>
  <si>
    <t>Manual Time</t>
  </si>
  <si>
    <t>Process Capacity Per Shift</t>
  </si>
  <si>
    <t>Process Capacity Per Shift Of Bottle neck Process</t>
  </si>
  <si>
    <t xml:space="preserve">                      SUMMIT AUTO SEATS INDUSTRY CO., LTD.                       ซัมมิท โอโตซีท อินดัสตรี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</si>
</sst>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0.0"/>
    <numFmt numFmtId="188" formatCode="[$-101041E]d\ mmmm\ yyyy;@"/>
    <numFmt numFmtId="189" formatCode="[$-101041E]d\ mmm\ yy;@"/>
  </numFmts>
  <fonts count="92" x14ac:knownFonts="1">
    <font>
      <sz val="10"/>
      <name val="Arial"/>
    </font>
    <font>
      <sz val="10"/>
      <name val="Arial"/>
      <family val="2"/>
    </font>
    <font>
      <sz val="26"/>
      <name val="Arial Black"/>
      <family val="2"/>
    </font>
    <font>
      <sz val="16"/>
      <name val="JasmineUPC"/>
      <family val="1"/>
      <charset val="222"/>
    </font>
    <font>
      <sz val="10"/>
      <name val="Arial Black"/>
      <family val="2"/>
    </font>
    <font>
      <sz val="12"/>
      <name val="Arial Black"/>
      <family val="2"/>
    </font>
    <font>
      <sz val="12"/>
      <color indexed="9"/>
      <name val="Arial Black"/>
      <family val="2"/>
    </font>
    <font>
      <sz val="12"/>
      <name val="Arial"/>
      <family val="2"/>
    </font>
    <font>
      <sz val="14"/>
      <name val="Cordia New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2"/>
      <name val="JasmineUPC"/>
      <family val="1"/>
      <charset val="222"/>
    </font>
    <font>
      <sz val="10"/>
      <name val="JasmineUPC"/>
      <family val="1"/>
      <charset val="222"/>
    </font>
    <font>
      <b/>
      <sz val="12"/>
      <name val="Arial Black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7"/>
      <name val="Small Fonts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17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6"/>
      <name val="Arial Black"/>
      <family val="2"/>
    </font>
    <font>
      <sz val="18"/>
      <name val="Arial Black"/>
      <family val="2"/>
    </font>
    <font>
      <sz val="14"/>
      <name val="Cordia New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4"/>
      <name val="Arial Black"/>
      <family val="2"/>
    </font>
    <font>
      <sz val="10"/>
      <color indexed="12"/>
      <name val="Arial Black"/>
      <family val="2"/>
    </font>
    <font>
      <b/>
      <sz val="16"/>
      <color indexed="12"/>
      <name val="Arial"/>
      <family val="2"/>
    </font>
    <font>
      <sz val="10"/>
      <color indexed="12"/>
      <name val="Arial"/>
      <family val="2"/>
    </font>
    <font>
      <sz val="16"/>
      <color indexed="12"/>
      <name val="Arial"/>
      <family val="2"/>
    </font>
    <font>
      <b/>
      <sz val="10"/>
      <color indexed="12"/>
      <name val="Arial Black"/>
      <family val="2"/>
    </font>
    <font>
      <b/>
      <sz val="10"/>
      <name val="Arial Black"/>
      <family val="2"/>
    </font>
    <font>
      <sz val="16"/>
      <color indexed="10"/>
      <name val="Arial"/>
      <family val="2"/>
    </font>
    <font>
      <b/>
      <sz val="16"/>
      <color indexed="10"/>
      <name val="Arial"/>
      <family val="2"/>
    </font>
    <font>
      <sz val="10"/>
      <color indexed="10"/>
      <name val="Arial"/>
      <family val="2"/>
    </font>
    <font>
      <b/>
      <sz val="16"/>
      <name val="Wingdings 2"/>
      <family val="1"/>
      <charset val="2"/>
    </font>
    <font>
      <sz val="11"/>
      <name val="Arial"/>
      <family val="2"/>
    </font>
    <font>
      <sz val="22"/>
      <name val="Arial"/>
      <family val="2"/>
    </font>
    <font>
      <sz val="20"/>
      <name val="Arial"/>
      <family val="2"/>
    </font>
    <font>
      <sz val="32"/>
      <name val="Arial"/>
      <family val="2"/>
    </font>
    <font>
      <sz val="48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sz val="7"/>
      <color indexed="10"/>
      <name val="Arial"/>
      <family val="2"/>
    </font>
    <font>
      <b/>
      <sz val="10"/>
      <color rgb="FF0000FF"/>
      <name val="Arial Unicode MS"/>
      <family val="2"/>
    </font>
    <font>
      <b/>
      <sz val="12"/>
      <color rgb="FF0000FF"/>
      <name val="Arial Unicode MS"/>
      <family val="2"/>
    </font>
    <font>
      <sz val="16"/>
      <color indexed="12"/>
      <name val="Arial Unicode MS"/>
      <family val="2"/>
    </font>
    <font>
      <sz val="18"/>
      <color indexed="12"/>
      <name val="Arial Unicode MS"/>
      <family val="2"/>
    </font>
    <font>
      <sz val="16"/>
      <color theme="5" tint="-0.499984740745262"/>
      <name val="Arial Black"/>
      <family val="2"/>
    </font>
    <font>
      <sz val="20"/>
      <name val="Arial Black"/>
      <family val="2"/>
    </font>
    <font>
      <sz val="24"/>
      <name val="Arial Black"/>
      <family val="2"/>
    </font>
    <font>
      <sz val="26"/>
      <color theme="5" tint="-0.499984740745262"/>
      <name val="Arial Black"/>
      <family val="2"/>
    </font>
    <font>
      <sz val="11"/>
      <name val="JasmineUPC"/>
      <family val="1"/>
      <charset val="222"/>
    </font>
    <font>
      <sz val="14"/>
      <name val="CordiaUPC"/>
      <family val="2"/>
      <charset val="222"/>
    </font>
    <font>
      <b/>
      <sz val="20"/>
      <name val="Angsana New"/>
      <family val="1"/>
    </font>
    <font>
      <b/>
      <sz val="16"/>
      <name val="Angsana New"/>
      <family val="1"/>
    </font>
    <font>
      <b/>
      <sz val="25"/>
      <name val="AngsanaUPC"/>
      <family val="1"/>
      <charset val="222"/>
    </font>
    <font>
      <b/>
      <sz val="20"/>
      <name val="AngsanaUPC"/>
      <family val="1"/>
      <charset val="222"/>
    </font>
    <font>
      <b/>
      <sz val="14"/>
      <name val="Cordia New"/>
      <family val="2"/>
    </font>
    <font>
      <b/>
      <sz val="20"/>
      <name val="CordiaUPC"/>
      <family val="2"/>
      <charset val="222"/>
    </font>
    <font>
      <sz val="16"/>
      <name val="CordiaUPC"/>
      <family val="2"/>
      <charset val="222"/>
    </font>
    <font>
      <sz val="15"/>
      <name val="AngsanaUPC"/>
      <family val="1"/>
      <charset val="222"/>
    </font>
    <font>
      <sz val="15"/>
      <name val="FreesiaUPC"/>
      <family val="1"/>
      <charset val="222"/>
    </font>
    <font>
      <sz val="28"/>
      <name val="CordiaUPC"/>
      <family val="2"/>
      <charset val="222"/>
    </font>
    <font>
      <b/>
      <sz val="13"/>
      <name val="AngsanaUPC"/>
      <family val="1"/>
      <charset val="222"/>
    </font>
    <font>
      <b/>
      <sz val="24"/>
      <name val="Angsana New"/>
      <family val="1"/>
    </font>
    <font>
      <b/>
      <sz val="24"/>
      <name val="CordiaUPC"/>
      <family val="2"/>
      <charset val="222"/>
    </font>
    <font>
      <b/>
      <sz val="14"/>
      <name val="AngsanaUPC"/>
      <family val="1"/>
      <charset val="222"/>
    </font>
    <font>
      <b/>
      <sz val="20"/>
      <name val="Aharoni"/>
      <charset val="177"/>
    </font>
    <font>
      <b/>
      <sz val="18"/>
      <name val="Aharoni"/>
      <charset val="177"/>
    </font>
    <font>
      <b/>
      <sz val="36"/>
      <name val="AngsanaUPC"/>
      <family val="1"/>
      <charset val="222"/>
    </font>
    <font>
      <b/>
      <sz val="28"/>
      <name val="AngsanaUPC"/>
      <family val="1"/>
      <charset val="222"/>
    </font>
    <font>
      <b/>
      <sz val="22"/>
      <name val="Arial"/>
      <family val="2"/>
    </font>
    <font>
      <b/>
      <sz val="18"/>
      <name val="Arial Black"/>
      <family val="2"/>
    </font>
    <font>
      <b/>
      <sz val="24"/>
      <color rgb="FF0000FF"/>
      <name val="Arial Unicode MS"/>
      <family val="2"/>
    </font>
    <font>
      <b/>
      <sz val="26"/>
      <color indexed="12"/>
      <name val="Arial Unicode MS"/>
      <family val="2"/>
    </font>
    <font>
      <b/>
      <sz val="18"/>
      <color rgb="FF0000FF"/>
      <name val="Arial Unicode M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1" fillId="0" borderId="0"/>
    <xf numFmtId="0" fontId="8" fillId="0" borderId="0"/>
    <xf numFmtId="0" fontId="8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37" fontId="17" fillId="0" borderId="0"/>
    <xf numFmtId="0" fontId="18" fillId="16" borderId="29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17" borderId="30" applyNumberFormat="0" applyAlignment="0" applyProtection="0"/>
    <xf numFmtId="0" fontId="23" fillId="0" borderId="31" applyNumberFormat="0" applyFill="0" applyAlignment="0" applyProtection="0"/>
    <xf numFmtId="0" fontId="24" fillId="4" borderId="0" applyNumberFormat="0" applyBorder="0" applyAlignment="0" applyProtection="0"/>
    <xf numFmtId="0" fontId="1" fillId="0" borderId="0"/>
    <xf numFmtId="0" fontId="25" fillId="7" borderId="29" applyNumberFormat="0" applyAlignment="0" applyProtection="0"/>
    <xf numFmtId="0" fontId="26" fillId="18" borderId="0" applyNumberFormat="0" applyBorder="0" applyAlignment="0" applyProtection="0"/>
    <xf numFmtId="0" fontId="27" fillId="0" borderId="32" applyNumberFormat="0" applyFill="0" applyAlignment="0" applyProtection="0"/>
    <xf numFmtId="0" fontId="28" fillId="3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22" borderId="0" applyNumberFormat="0" applyBorder="0" applyAlignment="0" applyProtection="0"/>
    <xf numFmtId="0" fontId="29" fillId="16" borderId="33" applyNumberFormat="0" applyAlignment="0" applyProtection="0"/>
    <xf numFmtId="0" fontId="10" fillId="23" borderId="34" applyNumberFormat="0" applyFont="0" applyAlignment="0" applyProtection="0"/>
    <xf numFmtId="0" fontId="30" fillId="0" borderId="35" applyNumberFormat="0" applyFill="0" applyAlignment="0" applyProtection="0"/>
    <xf numFmtId="0" fontId="31" fillId="0" borderId="36" applyNumberFormat="0" applyFill="0" applyAlignment="0" applyProtection="0"/>
    <xf numFmtId="0" fontId="32" fillId="0" borderId="37" applyNumberFormat="0" applyFill="0" applyAlignment="0" applyProtection="0"/>
    <xf numFmtId="0" fontId="32" fillId="0" borderId="0" applyNumberFormat="0" applyFill="0" applyBorder="0" applyAlignment="0" applyProtection="0"/>
    <xf numFmtId="0" fontId="35" fillId="0" borderId="0"/>
    <xf numFmtId="0" fontId="9" fillId="0" borderId="0"/>
    <xf numFmtId="0" fontId="35" fillId="0" borderId="0"/>
    <xf numFmtId="0" fontId="66" fillId="0" borderId="0"/>
    <xf numFmtId="0" fontId="35" fillId="0" borderId="0"/>
  </cellStyleXfs>
  <cellXfs count="37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4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9" fillId="0" borderId="10" xfId="2" applyFont="1" applyBorder="1" applyAlignment="1">
      <alignment vertical="center" wrapText="1"/>
    </xf>
    <xf numFmtId="2" fontId="9" fillId="0" borderId="10" xfId="1" applyNumberFormat="1" applyFont="1" applyBorder="1" applyAlignment="1">
      <alignment horizontal="center" vertical="center"/>
    </xf>
    <xf numFmtId="2" fontId="9" fillId="0" borderId="7" xfId="1" applyNumberFormat="1" applyFont="1" applyBorder="1" applyAlignment="1">
      <alignment horizontal="center" vertical="center"/>
    </xf>
    <xf numFmtId="2" fontId="9" fillId="0" borderId="11" xfId="1" applyNumberFormat="1" applyFont="1" applyBorder="1" applyAlignment="1">
      <alignment horizontal="center" vertical="center"/>
    </xf>
    <xf numFmtId="2" fontId="9" fillId="0" borderId="5" xfId="1" applyNumberFormat="1" applyFont="1" applyBorder="1" applyAlignment="1">
      <alignment horizontal="center" vertical="center"/>
    </xf>
    <xf numFmtId="2" fontId="9" fillId="0" borderId="12" xfId="1" applyNumberFormat="1" applyFont="1" applyBorder="1" applyAlignment="1">
      <alignment horizontal="center" vertical="center"/>
    </xf>
    <xf numFmtId="2" fontId="9" fillId="0" borderId="13" xfId="1" applyNumberFormat="1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11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9" fillId="0" borderId="16" xfId="2" applyFont="1" applyBorder="1" applyAlignment="1">
      <alignment vertical="center" wrapText="1"/>
    </xf>
    <xf numFmtId="2" fontId="9" fillId="0" borderId="16" xfId="1" applyNumberFormat="1" applyFont="1" applyBorder="1" applyAlignment="1">
      <alignment horizontal="center" vertical="center"/>
    </xf>
    <xf numFmtId="2" fontId="9" fillId="0" borderId="17" xfId="1" applyNumberFormat="1" applyFont="1" applyBorder="1" applyAlignment="1">
      <alignment horizontal="center" vertical="center"/>
    </xf>
    <xf numFmtId="2" fontId="13" fillId="0" borderId="16" xfId="1" applyNumberFormat="1" applyFont="1" applyBorder="1" applyAlignment="1">
      <alignment horizontal="center" vertical="center"/>
    </xf>
    <xf numFmtId="2" fontId="13" fillId="0" borderId="17" xfId="1" applyNumberFormat="1" applyFont="1" applyBorder="1" applyAlignment="1">
      <alignment horizontal="center" vertical="center"/>
    </xf>
    <xf numFmtId="2" fontId="13" fillId="0" borderId="5" xfId="1" applyNumberFormat="1" applyFont="1" applyBorder="1" applyAlignment="1">
      <alignment horizontal="center" vertical="center"/>
    </xf>
    <xf numFmtId="2" fontId="9" fillId="0" borderId="14" xfId="2" applyNumberFormat="1" applyFont="1" applyBorder="1" applyAlignment="1">
      <alignment horizontal="center" vertical="center"/>
    </xf>
    <xf numFmtId="0" fontId="9" fillId="0" borderId="18" xfId="2" applyFont="1" applyBorder="1" applyAlignment="1">
      <alignment vertical="center" wrapText="1"/>
    </xf>
    <xf numFmtId="0" fontId="9" fillId="0" borderId="20" xfId="3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13" fillId="0" borderId="20" xfId="1" applyFont="1" applyBorder="1" applyAlignment="1">
      <alignment horizontal="center" vertical="center"/>
    </xf>
    <xf numFmtId="187" fontId="9" fillId="0" borderId="12" xfId="1" applyNumberFormat="1" applyFont="1" applyBorder="1" applyAlignment="1">
      <alignment horizontal="center" vertical="center"/>
    </xf>
    <xf numFmtId="187" fontId="9" fillId="0" borderId="13" xfId="1" applyNumberFormat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16" xfId="1" applyFont="1" applyBorder="1" applyAlignment="1">
      <alignment horizontal="left" vertical="center"/>
    </xf>
    <xf numFmtId="0" fontId="13" fillId="0" borderId="20" xfId="1" applyFont="1" applyBorder="1" applyAlignment="1">
      <alignment horizontal="left" vertical="center"/>
    </xf>
    <xf numFmtId="0" fontId="13" fillId="0" borderId="21" xfId="1" applyFont="1" applyBorder="1" applyAlignment="1">
      <alignment horizontal="left" vertical="center"/>
    </xf>
    <xf numFmtId="2" fontId="13" fillId="0" borderId="21" xfId="1" applyNumberFormat="1" applyFont="1" applyBorder="1" applyAlignment="1">
      <alignment horizontal="center" vertical="center"/>
    </xf>
    <xf numFmtId="2" fontId="13" fillId="0" borderId="22" xfId="1" applyNumberFormat="1" applyFont="1" applyBorder="1" applyAlignment="1">
      <alignment horizontal="center" vertical="center"/>
    </xf>
    <xf numFmtId="187" fontId="9" fillId="0" borderId="23" xfId="1" applyNumberFormat="1" applyFont="1" applyBorder="1" applyAlignment="1">
      <alignment horizontal="center" vertical="center"/>
    </xf>
    <xf numFmtId="187" fontId="9" fillId="0" borderId="24" xfId="1" applyNumberFormat="1" applyFont="1" applyBorder="1" applyAlignment="1">
      <alignment horizontal="center" vertical="center"/>
    </xf>
    <xf numFmtId="187" fontId="9" fillId="0" borderId="25" xfId="1" applyNumberFormat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187" fontId="7" fillId="0" borderId="3" xfId="1" applyNumberFormat="1" applyFont="1" applyBorder="1" applyAlignment="1">
      <alignment horizontal="right"/>
    </xf>
    <xf numFmtId="2" fontId="7" fillId="0" borderId="3" xfId="1" applyNumberFormat="1" applyFont="1" applyBorder="1" applyAlignment="1">
      <alignment horizontal="right"/>
    </xf>
    <xf numFmtId="0" fontId="7" fillId="0" borderId="28" xfId="1" applyFont="1" applyBorder="1" applyAlignment="1">
      <alignment horizontal="right"/>
    </xf>
    <xf numFmtId="2" fontId="7" fillId="0" borderId="4" xfId="1" applyNumberFormat="1" applyFont="1" applyBorder="1" applyAlignment="1">
      <alignment horizontal="right"/>
    </xf>
    <xf numFmtId="0" fontId="5" fillId="0" borderId="0" xfId="1" applyFont="1" applyAlignment="1">
      <alignment horizontal="left"/>
    </xf>
    <xf numFmtId="0" fontId="5" fillId="0" borderId="9" xfId="1" applyFont="1" applyBorder="1" applyAlignment="1">
      <alignment horizontal="center"/>
    </xf>
    <xf numFmtId="0" fontId="5" fillId="0" borderId="15" xfId="1" applyFont="1" applyBorder="1" applyAlignment="1">
      <alignment horizontal="center"/>
    </xf>
    <xf numFmtId="0" fontId="9" fillId="0" borderId="0" xfId="47" applyFont="1" applyAlignment="1">
      <alignment vertical="center"/>
    </xf>
    <xf numFmtId="0" fontId="9" fillId="0" borderId="0" xfId="47" applyFont="1"/>
    <xf numFmtId="2" fontId="9" fillId="0" borderId="0" xfId="47" applyNumberFormat="1" applyFont="1" applyAlignment="1">
      <alignment vertical="center"/>
    </xf>
    <xf numFmtId="0" fontId="9" fillId="0" borderId="5" xfId="47" applyFont="1" applyBorder="1" applyAlignment="1">
      <alignment vertical="center"/>
    </xf>
    <xf numFmtId="0" fontId="9" fillId="0" borderId="0" xfId="47" applyFont="1" applyAlignment="1">
      <alignment horizontal="left"/>
    </xf>
    <xf numFmtId="0" fontId="9" fillId="0" borderId="40" xfId="47" applyFont="1" applyBorder="1"/>
    <xf numFmtId="3" fontId="39" fillId="0" borderId="41" xfId="47" applyNumberFormat="1" applyFont="1" applyBorder="1" applyAlignment="1">
      <alignment horizontal="left"/>
    </xf>
    <xf numFmtId="49" fontId="40" fillId="0" borderId="40" xfId="47" applyNumberFormat="1" applyFont="1" applyBorder="1" applyAlignment="1">
      <alignment horizontal="center"/>
    </xf>
    <xf numFmtId="0" fontId="41" fillId="0" borderId="41" xfId="47" applyFont="1" applyBorder="1" applyAlignment="1">
      <alignment horizontal="left"/>
    </xf>
    <xf numFmtId="49" fontId="42" fillId="0" borderId="42" xfId="47" applyNumberFormat="1" applyFont="1" applyBorder="1" applyAlignment="1">
      <alignment horizontal="center" vertical="center"/>
    </xf>
    <xf numFmtId="0" fontId="9" fillId="0" borderId="43" xfId="47" applyFont="1" applyBorder="1"/>
    <xf numFmtId="189" fontId="37" fillId="0" borderId="0" xfId="47" applyNumberFormat="1" applyFont="1" applyAlignment="1">
      <alignment horizontal="left" vertical="center"/>
    </xf>
    <xf numFmtId="0" fontId="9" fillId="0" borderId="19" xfId="47" applyFont="1" applyBorder="1"/>
    <xf numFmtId="0" fontId="9" fillId="0" borderId="44" xfId="47" applyFont="1" applyBorder="1"/>
    <xf numFmtId="2" fontId="9" fillId="0" borderId="45" xfId="47" applyNumberFormat="1" applyFont="1" applyBorder="1" applyAlignment="1">
      <alignment vertical="center"/>
    </xf>
    <xf numFmtId="0" fontId="43" fillId="0" borderId="42" xfId="47" applyFont="1" applyBorder="1" applyAlignment="1">
      <alignment horizontal="center"/>
    </xf>
    <xf numFmtId="0" fontId="37" fillId="0" borderId="46" xfId="47" applyFont="1" applyBorder="1" applyAlignment="1">
      <alignment vertical="center"/>
    </xf>
    <xf numFmtId="0" fontId="9" fillId="0" borderId="45" xfId="47" applyFont="1" applyBorder="1"/>
    <xf numFmtId="49" fontId="45" fillId="0" borderId="42" xfId="47" applyNumberFormat="1" applyFont="1" applyBorder="1" applyAlignment="1">
      <alignment horizontal="center"/>
    </xf>
    <xf numFmtId="0" fontId="37" fillId="0" borderId="47" xfId="47" applyFont="1" applyBorder="1" applyAlignment="1">
      <alignment horizontal="center"/>
    </xf>
    <xf numFmtId="0" fontId="43" fillId="0" borderId="41" xfId="47" applyFont="1" applyBorder="1" applyAlignment="1">
      <alignment horizontal="center"/>
    </xf>
    <xf numFmtId="1" fontId="39" fillId="0" borderId="41" xfId="47" applyNumberFormat="1" applyFont="1" applyBorder="1" applyAlignment="1">
      <alignment horizontal="left"/>
    </xf>
    <xf numFmtId="49" fontId="46" fillId="0" borderId="40" xfId="47" applyNumberFormat="1" applyFont="1" applyBorder="1" applyAlignment="1">
      <alignment horizontal="center"/>
    </xf>
    <xf numFmtId="2" fontId="47" fillId="0" borderId="41" xfId="47" applyNumberFormat="1" applyFont="1" applyBorder="1" applyAlignment="1">
      <alignment horizontal="left"/>
    </xf>
    <xf numFmtId="49" fontId="42" fillId="0" borderId="42" xfId="47" applyNumberFormat="1" applyFont="1" applyBorder="1" applyAlignment="1">
      <alignment horizontal="center"/>
    </xf>
    <xf numFmtId="0" fontId="9" fillId="0" borderId="0" xfId="47" applyFont="1" applyAlignment="1">
      <alignment horizontal="center"/>
    </xf>
    <xf numFmtId="2" fontId="11" fillId="0" borderId="0" xfId="47" applyNumberFormat="1" applyFont="1"/>
    <xf numFmtId="0" fontId="9" fillId="0" borderId="13" xfId="47" applyFont="1" applyBorder="1" applyAlignment="1">
      <alignment horizontal="center" vertical="center"/>
    </xf>
    <xf numFmtId="2" fontId="9" fillId="0" borderId="13" xfId="47" applyNumberFormat="1" applyFont="1" applyBorder="1" applyAlignment="1">
      <alignment horizontal="centerContinuous" vertical="center"/>
    </xf>
    <xf numFmtId="0" fontId="9" fillId="0" borderId="13" xfId="47" applyFont="1" applyBorder="1" applyAlignment="1">
      <alignment horizontal="centerContinuous" vertical="center"/>
    </xf>
    <xf numFmtId="0" fontId="48" fillId="0" borderId="49" xfId="47" applyFont="1" applyBorder="1" applyAlignment="1">
      <alignment horizontal="center"/>
    </xf>
    <xf numFmtId="0" fontId="9" fillId="0" borderId="48" xfId="47" applyFont="1" applyBorder="1"/>
    <xf numFmtId="0" fontId="9" fillId="0" borderId="41" xfId="47" applyFont="1" applyBorder="1"/>
    <xf numFmtId="0" fontId="9" fillId="0" borderId="50" xfId="47" applyFont="1" applyBorder="1"/>
    <xf numFmtId="0" fontId="9" fillId="0" borderId="51" xfId="47" applyFont="1" applyBorder="1"/>
    <xf numFmtId="0" fontId="9" fillId="0" borderId="12" xfId="47" applyFont="1" applyBorder="1" applyAlignment="1">
      <alignment horizontal="center" vertical="center"/>
    </xf>
    <xf numFmtId="0" fontId="9" fillId="0" borderId="13" xfId="47" applyFont="1" applyBorder="1" applyAlignment="1">
      <alignment horizontal="center" vertical="center" wrapText="1"/>
    </xf>
    <xf numFmtId="2" fontId="9" fillId="0" borderId="13" xfId="47" applyNumberFormat="1" applyFont="1" applyBorder="1" applyAlignment="1">
      <alignment horizontal="center" vertical="center"/>
    </xf>
    <xf numFmtId="0" fontId="9" fillId="0" borderId="48" xfId="47" applyFont="1" applyBorder="1" applyAlignment="1">
      <alignment horizontal="center" vertical="center"/>
    </xf>
    <xf numFmtId="2" fontId="49" fillId="0" borderId="13" xfId="48" applyNumberFormat="1" applyFont="1" applyBorder="1" applyAlignment="1">
      <alignment horizontal="center" vertical="center"/>
    </xf>
    <xf numFmtId="187" fontId="9" fillId="0" borderId="0" xfId="47" applyNumberFormat="1" applyFont="1"/>
    <xf numFmtId="0" fontId="9" fillId="0" borderId="13" xfId="47" applyFont="1" applyBorder="1" applyAlignment="1">
      <alignment vertical="center"/>
    </xf>
    <xf numFmtId="0" fontId="9" fillId="0" borderId="53" xfId="47" applyFont="1" applyBorder="1" applyAlignment="1">
      <alignment horizontal="center" vertical="center"/>
    </xf>
    <xf numFmtId="0" fontId="9" fillId="0" borderId="54" xfId="47" applyFont="1" applyBorder="1" applyAlignment="1">
      <alignment vertical="center"/>
    </xf>
    <xf numFmtId="0" fontId="9" fillId="0" borderId="55" xfId="47" applyFont="1" applyBorder="1" applyAlignment="1">
      <alignment horizontal="center" vertical="center"/>
    </xf>
    <xf numFmtId="0" fontId="9" fillId="0" borderId="42" xfId="47" applyFont="1" applyBorder="1"/>
    <xf numFmtId="0" fontId="9" fillId="0" borderId="0" xfId="47" applyFont="1" applyAlignment="1">
      <alignment horizontal="left" vertical="center"/>
    </xf>
    <xf numFmtId="0" fontId="9" fillId="0" borderId="0" xfId="49" applyFont="1"/>
    <xf numFmtId="0" fontId="9" fillId="0" borderId="56" xfId="47" applyFont="1" applyBorder="1" applyAlignment="1">
      <alignment vertical="center"/>
    </xf>
    <xf numFmtId="0" fontId="9" fillId="0" borderId="1" xfId="47" applyFont="1" applyBorder="1" applyAlignment="1">
      <alignment vertical="center"/>
    </xf>
    <xf numFmtId="0" fontId="9" fillId="0" borderId="24" xfId="47" applyFont="1" applyBorder="1" applyAlignment="1">
      <alignment horizontal="center" vertical="center"/>
    </xf>
    <xf numFmtId="2" fontId="9" fillId="0" borderId="1" xfId="47" applyNumberFormat="1" applyFont="1" applyBorder="1" applyAlignment="1">
      <alignment horizontal="centerContinuous" vertical="center"/>
    </xf>
    <xf numFmtId="0" fontId="9" fillId="0" borderId="1" xfId="47" applyFont="1" applyBorder="1" applyAlignment="1">
      <alignment horizontal="centerContinuous" vertical="center"/>
    </xf>
    <xf numFmtId="0" fontId="9" fillId="0" borderId="57" xfId="47" applyFont="1" applyBorder="1" applyAlignment="1">
      <alignment horizontal="centerContinuous" vertical="center"/>
    </xf>
    <xf numFmtId="0" fontId="9" fillId="0" borderId="1" xfId="47" applyFont="1" applyBorder="1"/>
    <xf numFmtId="0" fontId="9" fillId="0" borderId="1" xfId="47" applyFont="1" applyBorder="1" applyAlignment="1">
      <alignment horizontal="left" vertical="center"/>
    </xf>
    <xf numFmtId="0" fontId="9" fillId="0" borderId="58" xfId="47" applyFont="1" applyBorder="1"/>
    <xf numFmtId="0" fontId="9" fillId="0" borderId="0" xfId="47" applyFont="1" applyAlignment="1">
      <alignment horizontal="center" vertical="center"/>
    </xf>
    <xf numFmtId="0" fontId="9" fillId="0" borderId="0" xfId="48"/>
    <xf numFmtId="0" fontId="50" fillId="0" borderId="0" xfId="48" applyFont="1"/>
    <xf numFmtId="2" fontId="9" fillId="0" borderId="0" xfId="48" applyNumberFormat="1"/>
    <xf numFmtId="0" fontId="9" fillId="0" borderId="0" xfId="48" applyAlignment="1">
      <alignment vertical="center"/>
    </xf>
    <xf numFmtId="0" fontId="51" fillId="0" borderId="0" xfId="48" applyFont="1" applyAlignment="1">
      <alignment vertical="center"/>
    </xf>
    <xf numFmtId="0" fontId="52" fillId="0" borderId="0" xfId="48" applyFont="1" applyAlignment="1">
      <alignment vertical="center"/>
    </xf>
    <xf numFmtId="14" fontId="9" fillId="0" borderId="0" xfId="48" applyNumberFormat="1" applyAlignment="1">
      <alignment vertical="center"/>
    </xf>
    <xf numFmtId="0" fontId="9" fillId="0" borderId="0" xfId="48" applyAlignment="1">
      <alignment horizontal="center" vertical="center"/>
    </xf>
    <xf numFmtId="1" fontId="9" fillId="0" borderId="0" xfId="48" applyNumberFormat="1" applyAlignment="1">
      <alignment vertical="center"/>
    </xf>
    <xf numFmtId="0" fontId="53" fillId="0" borderId="0" xfId="48" applyFont="1" applyAlignment="1">
      <alignment horizontal="center" vertical="center"/>
    </xf>
    <xf numFmtId="0" fontId="52" fillId="0" borderId="0" xfId="48" applyFont="1" applyAlignment="1">
      <alignment horizontal="center" vertical="center"/>
    </xf>
    <xf numFmtId="0" fontId="9" fillId="0" borderId="0" xfId="48" applyAlignment="1">
      <alignment horizontal="center"/>
    </xf>
    <xf numFmtId="0" fontId="53" fillId="0" borderId="0" xfId="48" applyFont="1" applyAlignment="1">
      <alignment vertical="center"/>
    </xf>
    <xf numFmtId="0" fontId="54" fillId="0" borderId="0" xfId="48" applyFont="1"/>
    <xf numFmtId="0" fontId="55" fillId="24" borderId="13" xfId="48" applyFont="1" applyFill="1" applyBorder="1" applyAlignment="1">
      <alignment horizontal="center"/>
    </xf>
    <xf numFmtId="0" fontId="55" fillId="25" borderId="13" xfId="48" applyFont="1" applyFill="1" applyBorder="1" applyAlignment="1">
      <alignment horizontal="center"/>
    </xf>
    <xf numFmtId="0" fontId="55" fillId="0" borderId="49" xfId="47" applyFont="1" applyBorder="1" applyAlignment="1">
      <alignment horizontal="left" vertical="center"/>
    </xf>
    <xf numFmtId="0" fontId="55" fillId="0" borderId="59" xfId="47" applyFont="1" applyBorder="1" applyAlignment="1">
      <alignment horizontal="left" vertical="center"/>
    </xf>
    <xf numFmtId="2" fontId="55" fillId="0" borderId="13" xfId="48" applyNumberFormat="1" applyFont="1" applyBorder="1"/>
    <xf numFmtId="0" fontId="55" fillId="0" borderId="59" xfId="48" applyFont="1" applyBorder="1" applyAlignment="1">
      <alignment horizontal="left"/>
    </xf>
    <xf numFmtId="0" fontId="55" fillId="0" borderId="48" xfId="48" applyFont="1" applyBorder="1" applyAlignment="1">
      <alignment horizontal="left"/>
    </xf>
    <xf numFmtId="2" fontId="55" fillId="0" borderId="13" xfId="48" applyNumberFormat="1" applyFont="1" applyBorder="1" applyAlignment="1">
      <alignment horizontal="center" vertical="center"/>
    </xf>
    <xf numFmtId="2" fontId="55" fillId="0" borderId="13" xfId="48" applyNumberFormat="1" applyFont="1" applyBorder="1" applyAlignment="1">
      <alignment horizontal="center"/>
    </xf>
    <xf numFmtId="2" fontId="55" fillId="0" borderId="49" xfId="48" applyNumberFormat="1" applyFont="1" applyBorder="1"/>
    <xf numFmtId="2" fontId="55" fillId="0" borderId="13" xfId="47" applyNumberFormat="1" applyFont="1" applyBorder="1" applyAlignment="1">
      <alignment horizontal="center" vertical="center"/>
    </xf>
    <xf numFmtId="0" fontId="55" fillId="0" borderId="49" xfId="48" applyFont="1" applyBorder="1"/>
    <xf numFmtId="0" fontId="55" fillId="0" borderId="40" xfId="47" applyFont="1" applyBorder="1" applyAlignment="1">
      <alignment horizontal="left" vertical="center"/>
    </xf>
    <xf numFmtId="0" fontId="55" fillId="0" borderId="49" xfId="48" applyFont="1" applyBorder="1" applyAlignment="1">
      <alignment horizontal="left"/>
    </xf>
    <xf numFmtId="0" fontId="55" fillId="0" borderId="0" xfId="49" applyFont="1" applyAlignment="1">
      <alignment horizontal="left" vertical="center"/>
    </xf>
    <xf numFmtId="0" fontId="55" fillId="0" borderId="0" xfId="48" applyFont="1"/>
    <xf numFmtId="0" fontId="56" fillId="0" borderId="0" xfId="48" applyFont="1"/>
    <xf numFmtId="0" fontId="57" fillId="0" borderId="0" xfId="47" applyFont="1" applyAlignment="1">
      <alignment vertical="center"/>
    </xf>
    <xf numFmtId="0" fontId="33" fillId="0" borderId="0" xfId="1" applyFont="1"/>
    <xf numFmtId="0" fontId="61" fillId="0" borderId="0" xfId="1" applyFont="1" applyAlignment="1">
      <alignment horizontal="center"/>
    </xf>
    <xf numFmtId="0" fontId="55" fillId="0" borderId="44" xfId="47" applyFont="1" applyBorder="1" applyAlignment="1">
      <alignment horizontal="left" vertical="center"/>
    </xf>
    <xf numFmtId="0" fontId="33" fillId="0" borderId="50" xfId="1" applyFont="1" applyBorder="1"/>
    <xf numFmtId="0" fontId="5" fillId="0" borderId="56" xfId="1" applyFont="1" applyBorder="1"/>
    <xf numFmtId="0" fontId="5" fillId="0" borderId="1" xfId="1" applyFont="1" applyBorder="1"/>
    <xf numFmtId="0" fontId="5" fillId="0" borderId="62" xfId="1" applyFont="1" applyBorder="1"/>
    <xf numFmtId="0" fontId="5" fillId="0" borderId="67" xfId="1" applyFont="1" applyBorder="1"/>
    <xf numFmtId="0" fontId="5" fillId="0" borderId="58" xfId="1" applyFont="1" applyBorder="1"/>
    <xf numFmtId="0" fontId="62" fillId="0" borderId="61" xfId="1" applyFont="1" applyBorder="1"/>
    <xf numFmtId="0" fontId="65" fillId="0" borderId="0" xfId="1" applyFont="1" applyAlignment="1">
      <alignment horizontal="center" vertical="center"/>
    </xf>
    <xf numFmtId="0" fontId="34" fillId="0" borderId="0" xfId="1" applyFont="1" applyAlignment="1">
      <alignment horizontal="center"/>
    </xf>
    <xf numFmtId="0" fontId="34" fillId="0" borderId="13" xfId="1" applyFont="1" applyBorder="1" applyAlignment="1">
      <alignment horizontal="center"/>
    </xf>
    <xf numFmtId="0" fontId="33" fillId="0" borderId="13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19" xfId="1" applyFont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8" xfId="1" applyFont="1" applyBorder="1" applyAlignment="1">
      <alignment horizontal="center"/>
    </xf>
    <xf numFmtId="0" fontId="66" fillId="0" borderId="0" xfId="50" applyAlignment="1">
      <alignment horizontal="center"/>
    </xf>
    <xf numFmtId="0" fontId="66" fillId="0" borderId="0" xfId="50"/>
    <xf numFmtId="0" fontId="69" fillId="0" borderId="0" xfId="50" applyFont="1"/>
    <xf numFmtId="0" fontId="69" fillId="0" borderId="55" xfId="50" applyFont="1" applyBorder="1"/>
    <xf numFmtId="0" fontId="69" fillId="0" borderId="55" xfId="50" applyFont="1" applyBorder="1" applyAlignment="1">
      <alignment vertical="center"/>
    </xf>
    <xf numFmtId="0" fontId="66" fillId="0" borderId="45" xfId="50" applyBorder="1"/>
    <xf numFmtId="0" fontId="66" fillId="0" borderId="50" xfId="50" applyBorder="1"/>
    <xf numFmtId="0" fontId="69" fillId="0" borderId="50" xfId="50" applyFont="1" applyBorder="1" applyAlignment="1">
      <alignment vertical="center"/>
    </xf>
    <xf numFmtId="0" fontId="66" fillId="0" borderId="41" xfId="50" applyBorder="1"/>
    <xf numFmtId="0" fontId="75" fillId="0" borderId="0" xfId="50" applyFont="1" applyAlignment="1">
      <alignment horizontal="center"/>
    </xf>
    <xf numFmtId="0" fontId="74" fillId="0" borderId="0" xfId="50" applyFont="1"/>
    <xf numFmtId="0" fontId="74" fillId="0" borderId="0" xfId="50" applyFont="1" applyAlignment="1">
      <alignment horizontal="center"/>
    </xf>
    <xf numFmtId="0" fontId="77" fillId="0" borderId="0" xfId="50" applyFont="1"/>
    <xf numFmtId="0" fontId="81" fillId="0" borderId="55" xfId="50" applyFont="1" applyBorder="1" applyAlignment="1">
      <alignment vertical="center"/>
    </xf>
    <xf numFmtId="0" fontId="69" fillId="0" borderId="0" xfId="50" applyFont="1" applyAlignment="1">
      <alignment vertical="center"/>
    </xf>
    <xf numFmtId="0" fontId="0" fillId="0" borderId="13" xfId="0" applyBorder="1"/>
    <xf numFmtId="0" fontId="69" fillId="0" borderId="44" xfId="50" applyFont="1" applyBorder="1" applyAlignment="1">
      <alignment vertical="center"/>
    </xf>
    <xf numFmtId="0" fontId="69" fillId="0" borderId="42" xfId="50" applyFont="1" applyBorder="1" applyAlignment="1">
      <alignment vertical="center"/>
    </xf>
    <xf numFmtId="0" fontId="69" fillId="0" borderId="40" xfId="50" applyFont="1" applyBorder="1" applyAlignment="1">
      <alignment vertical="center"/>
    </xf>
    <xf numFmtId="0" fontId="69" fillId="0" borderId="49" xfId="50" applyFont="1" applyBorder="1"/>
    <xf numFmtId="0" fontId="0" fillId="0" borderId="49" xfId="0" applyBorder="1"/>
    <xf numFmtId="0" fontId="0" fillId="0" borderId="44" xfId="0" applyBorder="1"/>
    <xf numFmtId="0" fontId="81" fillId="0" borderId="0" xfId="50" applyFont="1" applyAlignment="1">
      <alignment vertical="center"/>
    </xf>
    <xf numFmtId="0" fontId="0" fillId="0" borderId="43" xfId="0" applyBorder="1"/>
    <xf numFmtId="0" fontId="0" fillId="0" borderId="45" xfId="0" applyBorder="1"/>
    <xf numFmtId="0" fontId="0" fillId="0" borderId="41" xfId="0" applyBorder="1"/>
    <xf numFmtId="0" fontId="0" fillId="0" borderId="40" xfId="0" applyBorder="1"/>
    <xf numFmtId="0" fontId="0" fillId="0" borderId="52" xfId="0" applyBorder="1"/>
    <xf numFmtId="0" fontId="0" fillId="0" borderId="55" xfId="0" applyBorder="1"/>
    <xf numFmtId="0" fontId="82" fillId="0" borderId="13" xfId="0" applyFont="1" applyBorder="1" applyAlignment="1">
      <alignment horizontal="center" vertical="center" wrapText="1"/>
    </xf>
    <xf numFmtId="0" fontId="82" fillId="0" borderId="13" xfId="0" applyFont="1" applyBorder="1" applyAlignment="1">
      <alignment horizontal="center" vertical="center"/>
    </xf>
    <xf numFmtId="0" fontId="9" fillId="0" borderId="55" xfId="47" applyFont="1" applyBorder="1"/>
    <xf numFmtId="0" fontId="9" fillId="0" borderId="55" xfId="47" applyFont="1" applyBorder="1" applyAlignment="1">
      <alignment vertical="center"/>
    </xf>
    <xf numFmtId="0" fontId="14" fillId="0" borderId="26" xfId="1" applyFont="1" applyBorder="1" applyAlignment="1">
      <alignment horizontal="center"/>
    </xf>
    <xf numFmtId="0" fontId="14" fillId="0" borderId="27" xfId="1" applyFont="1" applyBorder="1" applyAlignment="1">
      <alignment horizontal="center"/>
    </xf>
    <xf numFmtId="0" fontId="34" fillId="0" borderId="50" xfId="1" applyFont="1" applyBorder="1" applyAlignment="1">
      <alignment horizontal="left" vertical="center"/>
    </xf>
    <xf numFmtId="0" fontId="33" fillId="0" borderId="50" xfId="1" applyFont="1" applyBorder="1" applyAlignment="1">
      <alignment horizontal="left"/>
    </xf>
    <xf numFmtId="0" fontId="58" fillId="0" borderId="0" xfId="47" applyFont="1" applyAlignment="1">
      <alignment horizontal="center" vertical="center"/>
    </xf>
    <xf numFmtId="188" fontId="60" fillId="0" borderId="0" xfId="47" applyNumberFormat="1" applyFont="1" applyAlignment="1">
      <alignment horizontal="center" vertical="center"/>
    </xf>
    <xf numFmtId="0" fontId="86" fillId="0" borderId="13" xfId="5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85" fillId="0" borderId="44" xfId="0" applyFont="1" applyBorder="1" applyAlignment="1">
      <alignment horizontal="center" vertical="center" wrapText="1"/>
    </xf>
    <xf numFmtId="0" fontId="85" fillId="0" borderId="55" xfId="0" applyFont="1" applyBorder="1" applyAlignment="1">
      <alignment horizontal="center" vertical="center" wrapText="1"/>
    </xf>
    <xf numFmtId="0" fontId="85" fillId="0" borderId="45" xfId="0" applyFont="1" applyBorder="1" applyAlignment="1">
      <alignment horizontal="center" vertical="center" wrapText="1"/>
    </xf>
    <xf numFmtId="0" fontId="85" fillId="0" borderId="40" xfId="0" applyFont="1" applyBorder="1" applyAlignment="1">
      <alignment horizontal="center" vertical="center" wrapText="1"/>
    </xf>
    <xf numFmtId="0" fontId="85" fillId="0" borderId="50" xfId="0" applyFont="1" applyBorder="1" applyAlignment="1">
      <alignment horizontal="center" vertical="center" wrapText="1"/>
    </xf>
    <xf numFmtId="0" fontId="85" fillId="0" borderId="41" xfId="0" applyFont="1" applyBorder="1" applyAlignment="1">
      <alignment horizontal="center" vertical="center" wrapText="1"/>
    </xf>
    <xf numFmtId="0" fontId="82" fillId="0" borderId="13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3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1" xfId="0" applyBorder="1" applyAlignment="1">
      <alignment horizontal="center"/>
    </xf>
    <xf numFmtId="0" fontId="87" fillId="0" borderId="55" xfId="47" applyFont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48" xfId="0" applyBorder="1" applyAlignment="1">
      <alignment horizontal="center"/>
    </xf>
    <xf numFmtId="0" fontId="82" fillId="0" borderId="13" xfId="51" applyFont="1" applyBorder="1" applyAlignment="1">
      <alignment horizontal="center" vertical="center"/>
    </xf>
    <xf numFmtId="0" fontId="82" fillId="0" borderId="52" xfId="51" applyFont="1" applyBorder="1" applyAlignment="1">
      <alignment horizontal="center" vertical="center" wrapText="1"/>
    </xf>
    <xf numFmtId="0" fontId="82" fillId="0" borderId="60" xfId="51" applyFont="1" applyBorder="1" applyAlignment="1">
      <alignment horizontal="center" vertical="center" wrapText="1"/>
    </xf>
    <xf numFmtId="0" fontId="82" fillId="0" borderId="44" xfId="50" applyFont="1" applyBorder="1" applyAlignment="1">
      <alignment horizontal="center" vertical="center" wrapText="1"/>
    </xf>
    <xf numFmtId="0" fontId="82" fillId="0" borderId="40" xfId="50" applyFont="1" applyBorder="1" applyAlignment="1">
      <alignment horizontal="center" vertical="center" wrapText="1"/>
    </xf>
    <xf numFmtId="0" fontId="81" fillId="0" borderId="49" xfId="50" applyFont="1" applyBorder="1" applyAlignment="1">
      <alignment horizontal="center" vertical="center"/>
    </xf>
    <xf numFmtId="0" fontId="81" fillId="0" borderId="48" xfId="50" applyFont="1" applyBorder="1" applyAlignment="1">
      <alignment horizontal="center" vertical="center"/>
    </xf>
    <xf numFmtId="0" fontId="81" fillId="0" borderId="49" xfId="51" applyFont="1" applyBorder="1" applyAlignment="1">
      <alignment horizontal="center" vertical="center"/>
    </xf>
    <xf numFmtId="0" fontId="81" fillId="0" borderId="48" xfId="51" applyFont="1" applyBorder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55" xfId="0" applyFont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84" fillId="0" borderId="40" xfId="0" applyFont="1" applyBorder="1" applyAlignment="1">
      <alignment horizontal="center"/>
    </xf>
    <xf numFmtId="0" fontId="84" fillId="0" borderId="50" xfId="0" applyFont="1" applyBorder="1" applyAlignment="1">
      <alignment horizontal="center"/>
    </xf>
    <xf numFmtId="188" fontId="88" fillId="0" borderId="50" xfId="47" applyNumberFormat="1" applyFont="1" applyBorder="1" applyAlignment="1">
      <alignment horizontal="center" vertical="center"/>
    </xf>
    <xf numFmtId="0" fontId="67" fillId="0" borderId="13" xfId="50" applyFont="1" applyBorder="1" applyAlignment="1">
      <alignment horizontal="center" vertical="center"/>
    </xf>
    <xf numFmtId="0" fontId="82" fillId="0" borderId="59" xfId="50" applyFont="1" applyBorder="1" applyAlignment="1">
      <alignment horizontal="center" vertical="center"/>
    </xf>
    <xf numFmtId="0" fontId="82" fillId="0" borderId="48" xfId="50" applyFont="1" applyBorder="1" applyAlignment="1">
      <alignment horizontal="center" vertical="center"/>
    </xf>
    <xf numFmtId="0" fontId="9" fillId="0" borderId="13" xfId="47" applyFont="1" applyBorder="1" applyAlignment="1">
      <alignment horizontal="center" vertical="center"/>
    </xf>
    <xf numFmtId="0" fontId="9" fillId="0" borderId="49" xfId="47" applyFont="1" applyBorder="1" applyAlignment="1">
      <alignment horizontal="left" vertical="center"/>
    </xf>
    <xf numFmtId="0" fontId="9" fillId="0" borderId="48" xfId="47" applyFont="1" applyBorder="1" applyAlignment="1">
      <alignment horizontal="left" vertical="center"/>
    </xf>
    <xf numFmtId="0" fontId="9" fillId="0" borderId="44" xfId="47" applyFont="1" applyBorder="1" applyAlignment="1">
      <alignment horizontal="center"/>
    </xf>
    <xf numFmtId="0" fontId="9" fillId="0" borderId="45" xfId="47" applyFont="1" applyBorder="1" applyAlignment="1">
      <alignment horizontal="center"/>
    </xf>
    <xf numFmtId="0" fontId="4" fillId="0" borderId="13" xfId="47" applyFont="1" applyBorder="1" applyAlignment="1">
      <alignment horizontal="left" vertical="center"/>
    </xf>
    <xf numFmtId="0" fontId="44" fillId="0" borderId="0" xfId="47" applyFont="1" applyAlignment="1">
      <alignment horizontal="center" vertical="center"/>
    </xf>
    <xf numFmtId="0" fontId="44" fillId="0" borderId="54" xfId="47" applyFont="1" applyBorder="1" applyAlignment="1">
      <alignment horizontal="left" vertical="center"/>
    </xf>
    <xf numFmtId="0" fontId="44" fillId="0" borderId="55" xfId="47" applyFont="1" applyBorder="1" applyAlignment="1">
      <alignment horizontal="left" vertical="center"/>
    </xf>
    <xf numFmtId="0" fontId="44" fillId="0" borderId="45" xfId="47" applyFont="1" applyBorder="1" applyAlignment="1">
      <alignment horizontal="left" vertical="center"/>
    </xf>
    <xf numFmtId="0" fontId="44" fillId="0" borderId="63" xfId="47" applyFont="1" applyBorder="1" applyAlignment="1">
      <alignment horizontal="left" vertical="center"/>
    </xf>
    <xf numFmtId="0" fontId="44" fillId="0" borderId="50" xfId="47" applyFont="1" applyBorder="1" applyAlignment="1">
      <alignment horizontal="left" vertical="center"/>
    </xf>
    <xf numFmtId="0" fontId="44" fillId="0" borderId="41" xfId="47" applyFont="1" applyBorder="1" applyAlignment="1">
      <alignment horizontal="left" vertical="center"/>
    </xf>
    <xf numFmtId="0" fontId="43" fillId="0" borderId="40" xfId="47" applyFont="1" applyBorder="1" applyAlignment="1">
      <alignment horizontal="center" vertical="center"/>
    </xf>
    <xf numFmtId="0" fontId="43" fillId="0" borderId="41" xfId="47" applyFont="1" applyBorder="1" applyAlignment="1">
      <alignment horizontal="center" vertical="center"/>
    </xf>
    <xf numFmtId="0" fontId="9" fillId="0" borderId="42" xfId="47" applyFont="1" applyBorder="1" applyAlignment="1">
      <alignment horizontal="center" vertical="center" wrapText="1"/>
    </xf>
    <xf numFmtId="0" fontId="9" fillId="0" borderId="43" xfId="47" applyFont="1" applyBorder="1" applyAlignment="1">
      <alignment horizontal="center" vertical="center" wrapText="1"/>
    </xf>
    <xf numFmtId="0" fontId="9" fillId="0" borderId="40" xfId="47" applyFont="1" applyBorder="1" applyAlignment="1">
      <alignment horizontal="center" vertical="center" wrapText="1"/>
    </xf>
    <xf numFmtId="0" fontId="9" fillId="0" borderId="41" xfId="47" applyFont="1" applyBorder="1" applyAlignment="1">
      <alignment horizontal="center" vertical="center" wrapText="1"/>
    </xf>
    <xf numFmtId="0" fontId="38" fillId="0" borderId="0" xfId="47" applyFont="1" applyAlignment="1">
      <alignment horizontal="center" vertical="center"/>
    </xf>
    <xf numFmtId="0" fontId="89" fillId="0" borderId="13" xfId="47" applyFont="1" applyBorder="1" applyAlignment="1">
      <alignment horizontal="center" vertical="center" wrapText="1"/>
    </xf>
    <xf numFmtId="0" fontId="54" fillId="0" borderId="13" xfId="47" applyFont="1" applyBorder="1" applyAlignment="1">
      <alignment horizontal="center"/>
    </xf>
    <xf numFmtId="0" fontId="9" fillId="0" borderId="13" xfId="47" applyFont="1" applyBorder="1" applyAlignment="1">
      <alignment horizontal="center"/>
    </xf>
    <xf numFmtId="0" fontId="73" fillId="0" borderId="49" xfId="50" applyFont="1" applyBorder="1" applyAlignment="1">
      <alignment horizontal="left"/>
    </xf>
    <xf numFmtId="0" fontId="73" fillId="0" borderId="59" xfId="50" applyFont="1" applyBorder="1" applyAlignment="1">
      <alignment horizontal="left"/>
    </xf>
    <xf numFmtId="0" fontId="73" fillId="0" borderId="48" xfId="50" applyFont="1" applyBorder="1" applyAlignment="1">
      <alignment horizontal="left"/>
    </xf>
    <xf numFmtId="0" fontId="66" fillId="0" borderId="52" xfId="50" applyBorder="1" applyAlignment="1">
      <alignment horizontal="center"/>
    </xf>
    <xf numFmtId="0" fontId="78" fillId="0" borderId="44" xfId="50" applyFont="1" applyBorder="1" applyAlignment="1">
      <alignment horizontal="center"/>
    </xf>
    <xf numFmtId="0" fontId="78" fillId="0" borderId="55" xfId="50" applyFont="1" applyBorder="1" applyAlignment="1">
      <alignment horizontal="center"/>
    </xf>
    <xf numFmtId="0" fontId="78" fillId="0" borderId="45" xfId="50" applyFont="1" applyBorder="1" applyAlignment="1">
      <alignment horizontal="center"/>
    </xf>
    <xf numFmtId="0" fontId="79" fillId="0" borderId="40" xfId="50" applyFont="1" applyBorder="1" applyAlignment="1">
      <alignment horizontal="center" vertical="center"/>
    </xf>
    <xf numFmtId="0" fontId="79" fillId="0" borderId="50" xfId="50" applyFont="1" applyBorder="1" applyAlignment="1">
      <alignment horizontal="center" vertical="center"/>
    </xf>
    <xf numFmtId="0" fontId="79" fillId="0" borderId="41" xfId="50" applyFont="1" applyBorder="1" applyAlignment="1">
      <alignment horizontal="center" vertical="center"/>
    </xf>
    <xf numFmtId="0" fontId="71" fillId="0" borderId="40" xfId="51" applyFont="1" applyBorder="1" applyAlignment="1">
      <alignment horizontal="center"/>
    </xf>
    <xf numFmtId="0" fontId="71" fillId="0" borderId="50" xfId="51" applyFont="1" applyBorder="1" applyAlignment="1">
      <alignment horizontal="center"/>
    </xf>
    <xf numFmtId="0" fontId="70" fillId="0" borderId="13" xfId="50" applyFont="1" applyBorder="1" applyAlignment="1">
      <alignment horizontal="center"/>
    </xf>
    <xf numFmtId="0" fontId="80" fillId="0" borderId="13" xfId="50" applyFont="1" applyBorder="1" applyAlignment="1">
      <alignment horizontal="center"/>
    </xf>
    <xf numFmtId="0" fontId="69" fillId="0" borderId="55" xfId="50" applyFont="1" applyBorder="1" applyAlignment="1">
      <alignment horizontal="center" vertical="center"/>
    </xf>
    <xf numFmtId="0" fontId="69" fillId="0" borderId="50" xfId="50" applyFont="1" applyBorder="1" applyAlignment="1">
      <alignment horizontal="center" vertical="center"/>
    </xf>
    <xf numFmtId="0" fontId="69" fillId="0" borderId="13" xfId="50" applyFont="1" applyBorder="1" applyAlignment="1">
      <alignment horizontal="center"/>
    </xf>
    <xf numFmtId="0" fontId="72" fillId="0" borderId="13" xfId="50" applyFont="1" applyBorder="1" applyAlignment="1">
      <alignment horizontal="center" vertical="center"/>
    </xf>
    <xf numFmtId="0" fontId="80" fillId="0" borderId="13" xfId="50" applyFont="1" applyBorder="1" applyAlignment="1">
      <alignment horizontal="center" vertical="top"/>
    </xf>
    <xf numFmtId="49" fontId="76" fillId="0" borderId="44" xfId="50" applyNumberFormat="1" applyFont="1" applyBorder="1" applyAlignment="1">
      <alignment horizontal="center" vertical="center"/>
    </xf>
    <xf numFmtId="49" fontId="76" fillId="0" borderId="55" xfId="50" applyNumberFormat="1" applyFont="1" applyBorder="1" applyAlignment="1">
      <alignment horizontal="center" vertical="center"/>
    </xf>
    <xf numFmtId="49" fontId="76" fillId="0" borderId="45" xfId="50" applyNumberFormat="1" applyFont="1" applyBorder="1" applyAlignment="1">
      <alignment horizontal="center" vertical="center"/>
    </xf>
    <xf numFmtId="49" fontId="76" fillId="0" borderId="42" xfId="50" applyNumberFormat="1" applyFont="1" applyBorder="1" applyAlignment="1">
      <alignment horizontal="center" vertical="center"/>
    </xf>
    <xf numFmtId="49" fontId="76" fillId="0" borderId="0" xfId="50" applyNumberFormat="1" applyFont="1" applyAlignment="1">
      <alignment horizontal="center" vertical="center"/>
    </xf>
    <xf numFmtId="49" fontId="76" fillId="0" borderId="43" xfId="50" applyNumberFormat="1" applyFont="1" applyBorder="1" applyAlignment="1">
      <alignment horizontal="center" vertical="center"/>
    </xf>
    <xf numFmtId="49" fontId="76" fillId="0" borderId="40" xfId="50" applyNumberFormat="1" applyFont="1" applyBorder="1" applyAlignment="1">
      <alignment horizontal="center" vertical="center"/>
    </xf>
    <xf numFmtId="49" fontId="76" fillId="0" borderId="50" xfId="50" applyNumberFormat="1" applyFont="1" applyBorder="1" applyAlignment="1">
      <alignment horizontal="center" vertical="center"/>
    </xf>
    <xf numFmtId="49" fontId="76" fillId="0" borderId="41" xfId="50" applyNumberFormat="1" applyFont="1" applyBorder="1" applyAlignment="1">
      <alignment horizontal="center" vertical="center"/>
    </xf>
    <xf numFmtId="0" fontId="66" fillId="0" borderId="44" xfId="50" applyBorder="1" applyAlignment="1">
      <alignment horizontal="center"/>
    </xf>
    <xf numFmtId="0" fontId="66" fillId="0" borderId="55" xfId="50" applyBorder="1" applyAlignment="1">
      <alignment horizontal="center"/>
    </xf>
    <xf numFmtId="0" fontId="66" fillId="0" borderId="45" xfId="50" applyBorder="1" applyAlignment="1">
      <alignment horizontal="center"/>
    </xf>
    <xf numFmtId="0" fontId="66" fillId="0" borderId="42" xfId="50" applyBorder="1" applyAlignment="1">
      <alignment horizontal="center"/>
    </xf>
    <xf numFmtId="0" fontId="66" fillId="0" borderId="0" xfId="50" applyAlignment="1">
      <alignment horizontal="center"/>
    </xf>
    <xf numFmtId="0" fontId="66" fillId="0" borderId="43" xfId="50" applyBorder="1" applyAlignment="1">
      <alignment horizontal="center"/>
    </xf>
    <xf numFmtId="0" fontId="66" fillId="0" borderId="40" xfId="50" applyBorder="1" applyAlignment="1">
      <alignment horizontal="center"/>
    </xf>
    <xf numFmtId="0" fontId="66" fillId="0" borderId="50" xfId="50" applyBorder="1" applyAlignment="1">
      <alignment horizontal="center"/>
    </xf>
    <xf numFmtId="0" fontId="66" fillId="0" borderId="41" xfId="50" applyBorder="1" applyAlignment="1">
      <alignment horizontal="center"/>
    </xf>
    <xf numFmtId="0" fontId="73" fillId="0" borderId="13" xfId="50" applyFont="1" applyBorder="1" applyAlignment="1">
      <alignment horizontal="center"/>
    </xf>
    <xf numFmtId="0" fontId="74" fillId="0" borderId="13" xfId="50" applyFont="1" applyBorder="1" applyAlignment="1">
      <alignment horizontal="center"/>
    </xf>
    <xf numFmtId="0" fontId="66" fillId="0" borderId="13" xfId="50" applyBorder="1" applyAlignment="1">
      <alignment horizontal="center"/>
    </xf>
    <xf numFmtId="0" fontId="66" fillId="0" borderId="60" xfId="50" applyBorder="1" applyAlignment="1">
      <alignment horizontal="center"/>
    </xf>
    <xf numFmtId="0" fontId="76" fillId="0" borderId="44" xfId="50" applyFont="1" applyBorder="1" applyAlignment="1">
      <alignment horizontal="center" vertical="center"/>
    </xf>
    <xf numFmtId="0" fontId="76" fillId="0" borderId="55" xfId="50" applyFont="1" applyBorder="1" applyAlignment="1">
      <alignment horizontal="center" vertical="center"/>
    </xf>
    <xf numFmtId="0" fontId="76" fillId="0" borderId="45" xfId="50" applyFont="1" applyBorder="1" applyAlignment="1">
      <alignment horizontal="center" vertical="center"/>
    </xf>
    <xf numFmtId="0" fontId="76" fillId="0" borderId="42" xfId="50" applyFont="1" applyBorder="1" applyAlignment="1">
      <alignment horizontal="center" vertical="center"/>
    </xf>
    <xf numFmtId="0" fontId="76" fillId="0" borderId="0" xfId="50" applyFont="1" applyAlignment="1">
      <alignment horizontal="center" vertical="center"/>
    </xf>
    <xf numFmtId="0" fontId="76" fillId="0" borderId="43" xfId="50" applyFont="1" applyBorder="1" applyAlignment="1">
      <alignment horizontal="center" vertical="center"/>
    </xf>
    <xf numFmtId="0" fontId="76" fillId="0" borderId="40" xfId="50" applyFont="1" applyBorder="1" applyAlignment="1">
      <alignment horizontal="center" vertical="center"/>
    </xf>
    <xf numFmtId="0" fontId="76" fillId="0" borderId="50" xfId="50" applyFont="1" applyBorder="1" applyAlignment="1">
      <alignment horizontal="center" vertical="center"/>
    </xf>
    <xf numFmtId="0" fontId="76" fillId="0" borderId="41" xfId="50" applyFont="1" applyBorder="1" applyAlignment="1">
      <alignment horizontal="center" vertical="center"/>
    </xf>
    <xf numFmtId="188" fontId="59" fillId="0" borderId="0" xfId="47" applyNumberFormat="1" applyFont="1" applyAlignment="1">
      <alignment horizontal="center" vertical="center"/>
    </xf>
    <xf numFmtId="0" fontId="67" fillId="0" borderId="13" xfId="50" applyFont="1" applyBorder="1" applyAlignment="1">
      <alignment horizontal="left" vertical="center"/>
    </xf>
    <xf numFmtId="0" fontId="67" fillId="0" borderId="13" xfId="51" applyFont="1" applyBorder="1" applyAlignment="1">
      <alignment horizontal="left" vertical="center"/>
    </xf>
    <xf numFmtId="0" fontId="68" fillId="0" borderId="13" xfId="50" applyFont="1" applyBorder="1" applyAlignment="1">
      <alignment horizontal="left" vertical="center"/>
    </xf>
    <xf numFmtId="0" fontId="68" fillId="0" borderId="13" xfId="51" applyFont="1" applyBorder="1" applyAlignment="1">
      <alignment horizontal="left" vertical="center"/>
    </xf>
    <xf numFmtId="0" fontId="68" fillId="0" borderId="49" xfId="51" applyFont="1" applyBorder="1" applyAlignment="1">
      <alignment horizontal="left" vertical="center"/>
    </xf>
    <xf numFmtId="0" fontId="33" fillId="0" borderId="59" xfId="1" applyFont="1" applyBorder="1" applyAlignment="1">
      <alignment horizontal="left"/>
    </xf>
    <xf numFmtId="0" fontId="36" fillId="0" borderId="13" xfId="47" applyFont="1" applyBorder="1" applyAlignment="1">
      <alignment horizontal="center"/>
    </xf>
    <xf numFmtId="0" fontId="9" fillId="0" borderId="52" xfId="47" applyFont="1" applyBorder="1" applyAlignment="1">
      <alignment horizontal="center"/>
    </xf>
    <xf numFmtId="0" fontId="9" fillId="0" borderId="60" xfId="47" applyFont="1" applyBorder="1" applyAlignment="1">
      <alignment horizontal="center"/>
    </xf>
    <xf numFmtId="0" fontId="9" fillId="0" borderId="52" xfId="48" applyBorder="1" applyAlignment="1">
      <alignment horizontal="center"/>
    </xf>
    <xf numFmtId="0" fontId="9" fillId="0" borderId="60" xfId="48" applyBorder="1" applyAlignment="1">
      <alignment horizontal="center"/>
    </xf>
    <xf numFmtId="0" fontId="33" fillId="0" borderId="55" xfId="1" applyFont="1" applyBorder="1" applyAlignment="1">
      <alignment horizontal="left"/>
    </xf>
    <xf numFmtId="0" fontId="34" fillId="0" borderId="59" xfId="1" applyFont="1" applyBorder="1" applyAlignment="1">
      <alignment horizontal="left" vertical="center"/>
    </xf>
    <xf numFmtId="0" fontId="55" fillId="0" borderId="13" xfId="48" applyFont="1" applyBorder="1" applyAlignment="1">
      <alignment horizontal="center"/>
    </xf>
    <xf numFmtId="0" fontId="55" fillId="24" borderId="49" xfId="48" applyFont="1" applyFill="1" applyBorder="1" applyAlignment="1">
      <alignment horizontal="center" vertical="center"/>
    </xf>
    <xf numFmtId="0" fontId="55" fillId="24" borderId="59" xfId="48" applyFont="1" applyFill="1" applyBorder="1" applyAlignment="1">
      <alignment horizontal="center" vertical="center"/>
    </xf>
    <xf numFmtId="0" fontId="55" fillId="24" borderId="48" xfId="48" applyFont="1" applyFill="1" applyBorder="1" applyAlignment="1">
      <alignment horizontal="center" vertical="center"/>
    </xf>
    <xf numFmtId="0" fontId="55" fillId="24" borderId="49" xfId="48" applyFont="1" applyFill="1" applyBorder="1" applyAlignment="1">
      <alignment horizontal="center"/>
    </xf>
    <xf numFmtId="0" fontId="55" fillId="24" borderId="59" xfId="48" applyFont="1" applyFill="1" applyBorder="1" applyAlignment="1">
      <alignment horizontal="center"/>
    </xf>
    <xf numFmtId="0" fontId="55" fillId="24" borderId="48" xfId="48" applyFont="1" applyFill="1" applyBorder="1" applyAlignment="1">
      <alignment horizontal="center"/>
    </xf>
    <xf numFmtId="0" fontId="54" fillId="0" borderId="0" xfId="48" applyFont="1" applyAlignment="1">
      <alignment horizontal="center"/>
    </xf>
    <xf numFmtId="0" fontId="5" fillId="0" borderId="0" xfId="1" applyFont="1" applyAlignment="1">
      <alignment horizontal="center"/>
    </xf>
    <xf numFmtId="0" fontId="63" fillId="0" borderId="26" xfId="1" applyFont="1" applyBorder="1" applyAlignment="1">
      <alignment horizontal="center" vertical="center"/>
    </xf>
    <xf numFmtId="0" fontId="63" fillId="0" borderId="65" xfId="1" applyFont="1" applyBorder="1" applyAlignment="1">
      <alignment horizontal="center" vertical="center"/>
    </xf>
    <xf numFmtId="0" fontId="63" fillId="0" borderId="66" xfId="1" applyFont="1" applyBorder="1" applyAlignment="1">
      <alignment horizontal="center" vertical="center"/>
    </xf>
    <xf numFmtId="2" fontId="63" fillId="0" borderId="26" xfId="2" applyNumberFormat="1" applyFont="1" applyBorder="1" applyAlignment="1">
      <alignment horizontal="center" vertical="center"/>
    </xf>
    <xf numFmtId="2" fontId="63" fillId="0" borderId="65" xfId="2" applyNumberFormat="1" applyFont="1" applyBorder="1" applyAlignment="1">
      <alignment horizontal="center" vertical="center"/>
    </xf>
    <xf numFmtId="2" fontId="63" fillId="0" borderId="66" xfId="2" applyNumberFormat="1" applyFont="1" applyBorder="1" applyAlignment="1">
      <alignment horizontal="center" vertical="center"/>
    </xf>
    <xf numFmtId="0" fontId="64" fillId="0" borderId="0" xfId="1" applyFont="1" applyAlignment="1">
      <alignment horizontal="center" vertical="center"/>
    </xf>
    <xf numFmtId="0" fontId="5" fillId="0" borderId="64" xfId="1" applyFont="1" applyBorder="1" applyAlignment="1">
      <alignment horizontal="center"/>
    </xf>
    <xf numFmtId="0" fontId="5" fillId="0" borderId="38" xfId="1" applyFont="1" applyBorder="1" applyAlignment="1">
      <alignment horizontal="center"/>
    </xf>
    <xf numFmtId="0" fontId="5" fillId="0" borderId="39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19" xfId="1" applyFont="1" applyBorder="1" applyAlignment="1">
      <alignment horizontal="center"/>
    </xf>
    <xf numFmtId="2" fontId="11" fillId="0" borderId="64" xfId="2" applyNumberFormat="1" applyFont="1" applyBorder="1" applyAlignment="1">
      <alignment horizontal="center" vertical="center"/>
    </xf>
    <xf numFmtId="2" fontId="11" fillId="0" borderId="38" xfId="2" applyNumberFormat="1" applyFont="1" applyBorder="1" applyAlignment="1">
      <alignment horizontal="center" vertical="center"/>
    </xf>
    <xf numFmtId="2" fontId="11" fillId="0" borderId="39" xfId="2" applyNumberFormat="1" applyFont="1" applyBorder="1" applyAlignment="1">
      <alignment horizontal="center" vertical="center"/>
    </xf>
    <xf numFmtId="2" fontId="11" fillId="0" borderId="5" xfId="2" applyNumberFormat="1" applyFont="1" applyBorder="1" applyAlignment="1">
      <alignment horizontal="center" vertical="center"/>
    </xf>
    <xf numFmtId="2" fontId="11" fillId="0" borderId="0" xfId="2" applyNumberFormat="1" applyFont="1" applyAlignment="1">
      <alignment horizontal="center" vertical="center"/>
    </xf>
    <xf numFmtId="2" fontId="11" fillId="0" borderId="19" xfId="2" applyNumberFormat="1" applyFont="1" applyBorder="1" applyAlignment="1">
      <alignment horizontal="center" vertical="center"/>
    </xf>
    <xf numFmtId="0" fontId="34" fillId="0" borderId="64" xfId="1" applyFont="1" applyBorder="1" applyAlignment="1">
      <alignment horizontal="center" vertical="center"/>
    </xf>
    <xf numFmtId="0" fontId="34" fillId="0" borderId="38" xfId="1" applyFont="1" applyBorder="1" applyAlignment="1">
      <alignment horizontal="center" vertical="center"/>
    </xf>
    <xf numFmtId="0" fontId="34" fillId="0" borderId="39" xfId="1" applyFont="1" applyBorder="1" applyAlignment="1">
      <alignment horizontal="center" vertical="center"/>
    </xf>
    <xf numFmtId="0" fontId="34" fillId="0" borderId="56" xfId="1" applyFont="1" applyBorder="1" applyAlignment="1">
      <alignment horizontal="center" vertical="center"/>
    </xf>
    <xf numFmtId="0" fontId="34" fillId="0" borderId="1" xfId="1" applyFont="1" applyBorder="1" applyAlignment="1">
      <alignment horizontal="center" vertical="center"/>
    </xf>
    <xf numFmtId="0" fontId="34" fillId="0" borderId="58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/>
    </xf>
    <xf numFmtId="0" fontId="33" fillId="0" borderId="13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4" fillId="0" borderId="49" xfId="1" applyFont="1" applyBorder="1" applyAlignment="1">
      <alignment horizontal="center"/>
    </xf>
    <xf numFmtId="0" fontId="34" fillId="0" borderId="59" xfId="1" applyFont="1" applyBorder="1" applyAlignment="1">
      <alignment horizontal="center"/>
    </xf>
    <xf numFmtId="0" fontId="34" fillId="0" borderId="48" xfId="1" applyFont="1" applyBorder="1" applyAlignment="1">
      <alignment horizontal="center"/>
    </xf>
  </cellXfs>
  <cellStyles count="52">
    <cellStyle name="20% - ส่วนที่ถูกเน้น1" xfId="4" xr:uid="{00000000-0005-0000-0000-000000000000}"/>
    <cellStyle name="20% - ส่วนที่ถูกเน้น2" xfId="5" xr:uid="{00000000-0005-0000-0000-000001000000}"/>
    <cellStyle name="20% - ส่วนที่ถูกเน้น3" xfId="6" xr:uid="{00000000-0005-0000-0000-000002000000}"/>
    <cellStyle name="20% - ส่วนที่ถูกเน้น4" xfId="7" xr:uid="{00000000-0005-0000-0000-000003000000}"/>
    <cellStyle name="20% - ส่วนที่ถูกเน้น5" xfId="8" xr:uid="{00000000-0005-0000-0000-000004000000}"/>
    <cellStyle name="20% - ส่วนที่ถูกเน้น6" xfId="9" xr:uid="{00000000-0005-0000-0000-000005000000}"/>
    <cellStyle name="40% - ส่วนที่ถูกเน้น1" xfId="10" xr:uid="{00000000-0005-0000-0000-000006000000}"/>
    <cellStyle name="40% - ส่วนที่ถูกเน้น2" xfId="11" xr:uid="{00000000-0005-0000-0000-000007000000}"/>
    <cellStyle name="40% - ส่วนที่ถูกเน้น3" xfId="12" xr:uid="{00000000-0005-0000-0000-000008000000}"/>
    <cellStyle name="40% - ส่วนที่ถูกเน้น4" xfId="13" xr:uid="{00000000-0005-0000-0000-000009000000}"/>
    <cellStyle name="40% - ส่วนที่ถูกเน้น5" xfId="14" xr:uid="{00000000-0005-0000-0000-00000A000000}"/>
    <cellStyle name="40% - ส่วนที่ถูกเน้น6" xfId="15" xr:uid="{00000000-0005-0000-0000-00000B000000}"/>
    <cellStyle name="60% - ส่วนที่ถูกเน้น1" xfId="16" xr:uid="{00000000-0005-0000-0000-00000C000000}"/>
    <cellStyle name="60% - ส่วนที่ถูกเน้น2" xfId="17" xr:uid="{00000000-0005-0000-0000-00000D000000}"/>
    <cellStyle name="60% - ส่วนที่ถูกเน้น3" xfId="18" xr:uid="{00000000-0005-0000-0000-00000E000000}"/>
    <cellStyle name="60% - ส่วนที่ถูกเน้น4" xfId="19" xr:uid="{00000000-0005-0000-0000-00000F000000}"/>
    <cellStyle name="60% - ส่วนที่ถูกเน้น5" xfId="20" xr:uid="{00000000-0005-0000-0000-000010000000}"/>
    <cellStyle name="60% - ส่วนที่ถูกเน้น6" xfId="21" xr:uid="{00000000-0005-0000-0000-000011000000}"/>
    <cellStyle name="no dec" xfId="22" xr:uid="{00000000-0005-0000-0000-000012000000}"/>
    <cellStyle name="Normal" xfId="0" builtinId="0"/>
    <cellStyle name="Normal 2" xfId="48" xr:uid="{00000000-0005-0000-0000-000014000000}"/>
    <cellStyle name="Normal 3" xfId="51" xr:uid="{00000000-0005-0000-0000-000015000000}"/>
    <cellStyle name="Normal_จับเวลา man 4" xfId="1" xr:uid="{00000000-0005-0000-0000-000016000000}"/>
    <cellStyle name="การคำนวณ" xfId="23" xr:uid="{00000000-0005-0000-0000-000017000000}"/>
    <cellStyle name="ข้อความเตือน" xfId="24" xr:uid="{00000000-0005-0000-0000-000018000000}"/>
    <cellStyle name="ข้อความอธิบาย" xfId="25" xr:uid="{00000000-0005-0000-0000-000019000000}"/>
    <cellStyle name="ชื่อเรื่อง" xfId="26" xr:uid="{00000000-0005-0000-0000-00001A000000}"/>
    <cellStyle name="เซลล์ตรวจสอบ" xfId="27" xr:uid="{00000000-0005-0000-0000-00001B000000}"/>
    <cellStyle name="เซลล์ที่มีการเชื่อมโยง" xfId="28" xr:uid="{00000000-0005-0000-0000-00001C000000}"/>
    <cellStyle name="ดี" xfId="29" xr:uid="{00000000-0005-0000-0000-00001D000000}"/>
    <cellStyle name="ปกติ_60-40 Sewing" xfId="30" xr:uid="{00000000-0005-0000-0000-00001E000000}"/>
    <cellStyle name="ปกติ_STANDARDIZATION WORK CHART3" xfId="50" xr:uid="{00000000-0005-0000-0000-00001F000000}"/>
    <cellStyle name="ปกติ_ตารางจับเวลา  1" xfId="3" xr:uid="{00000000-0005-0000-0000-000020000000}"/>
    <cellStyle name="ปกติ_ตารางจับเวลา  1 2" xfId="49" xr:uid="{00000000-0005-0000-0000-000021000000}"/>
    <cellStyle name="ปกติ_ตารางมาตรฐานผสม" xfId="2" xr:uid="{00000000-0005-0000-0000-000022000000}"/>
    <cellStyle name="ปกติ_ตารางมาตรฐานผสม 2" xfId="47" xr:uid="{00000000-0005-0000-0000-000023000000}"/>
    <cellStyle name="ป้อนค่า" xfId="31" xr:uid="{00000000-0005-0000-0000-000024000000}"/>
    <cellStyle name="ปานกลาง" xfId="32" xr:uid="{00000000-0005-0000-0000-000025000000}"/>
    <cellStyle name="ผลรวม" xfId="33" xr:uid="{00000000-0005-0000-0000-000026000000}"/>
    <cellStyle name="แย่" xfId="34" xr:uid="{00000000-0005-0000-0000-000027000000}"/>
    <cellStyle name="ส่วนที่ถูกเน้น1" xfId="35" xr:uid="{00000000-0005-0000-0000-000028000000}"/>
    <cellStyle name="ส่วนที่ถูกเน้น2" xfId="36" xr:uid="{00000000-0005-0000-0000-000029000000}"/>
    <cellStyle name="ส่วนที่ถูกเน้น3" xfId="37" xr:uid="{00000000-0005-0000-0000-00002A000000}"/>
    <cellStyle name="ส่วนที่ถูกเน้น4" xfId="38" xr:uid="{00000000-0005-0000-0000-00002B000000}"/>
    <cellStyle name="ส่วนที่ถูกเน้น5" xfId="39" xr:uid="{00000000-0005-0000-0000-00002C000000}"/>
    <cellStyle name="ส่วนที่ถูกเน้น6" xfId="40" xr:uid="{00000000-0005-0000-0000-00002D000000}"/>
    <cellStyle name="แสดงผล" xfId="41" xr:uid="{00000000-0005-0000-0000-00002E000000}"/>
    <cellStyle name="หมายเหตุ" xfId="42" xr:uid="{00000000-0005-0000-0000-00002F000000}"/>
    <cellStyle name="หัวเรื่อง 1" xfId="43" xr:uid="{00000000-0005-0000-0000-000030000000}"/>
    <cellStyle name="หัวเรื่อง 2" xfId="44" xr:uid="{00000000-0005-0000-0000-000031000000}"/>
    <cellStyle name="หัวเรื่อง 3" xfId="45" xr:uid="{00000000-0005-0000-0000-000032000000}"/>
    <cellStyle name="หัวเรื่อง 4" xfId="46" xr:uid="{00000000-0005-0000-0000-000033000000}"/>
  </cellStyles>
  <dxfs count="1">
    <dxf>
      <font>
        <b val="0"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646068974150696E-2"/>
          <c:y val="4.8267949569384093E-2"/>
          <c:w val="0.97594240915899888"/>
          <c:h val="0.92335170200083505"/>
        </c:manualLayout>
      </c:layout>
      <c:barChart>
        <c:barDir val="bar"/>
        <c:grouping val="stacked"/>
        <c:varyColors val="0"/>
        <c:ser>
          <c:idx val="0"/>
          <c:order val="0"/>
          <c:tx>
            <c:v>start</c:v>
          </c:tx>
          <c:spPr>
            <a:noFill/>
            <a:ln w="25400">
              <a:noFill/>
            </a:ln>
          </c:spPr>
          <c:invertIfNegative val="0"/>
          <c:val>
            <c:numRef>
              <c:f>'std.com table'!$H$10:$H$39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 formatCode="0.0">
                  <c:v>0</c:v>
                </c:pt>
                <c:pt idx="3" formatCode="0.0">
                  <c:v>0</c:v>
                </c:pt>
                <c:pt idx="4" formatCode="0.0">
                  <c:v>0</c:v>
                </c:pt>
                <c:pt idx="5" formatCode="0.0">
                  <c:v>0</c:v>
                </c:pt>
                <c:pt idx="6" formatCode="0.0">
                  <c:v>0</c:v>
                </c:pt>
                <c:pt idx="7" formatCode="0.0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  <c:pt idx="27" formatCode="0.0">
                  <c:v>0</c:v>
                </c:pt>
                <c:pt idx="28" formatCode="0.0">
                  <c:v>0</c:v>
                </c:pt>
                <c:pt idx="29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6-43A9-BE75-DE4733B6AF71}"/>
            </c:ext>
          </c:extLst>
        </c:ser>
        <c:ser>
          <c:idx val="1"/>
          <c:order val="1"/>
          <c:tx>
            <c:strRef>
              <c:f>'std.com table'!$E$9</c:f>
              <c:strCache>
                <c:ptCount val="1"/>
                <c:pt idx="0">
                  <c:v>คน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'std.com table'!$E$10:$E$39</c:f>
              <c:numCache>
                <c:formatCode>0.00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1-E4D6-43A9-BE75-DE4733B6A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61187200"/>
        <c:axId val="61188736"/>
      </c:barChart>
      <c:catAx>
        <c:axId val="61187200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61188736"/>
        <c:crosses val="autoZero"/>
        <c:auto val="1"/>
        <c:lblAlgn val="ctr"/>
        <c:lblOffset val="100"/>
        <c:tickMarkSkip val="1"/>
        <c:noMultiLvlLbl val="0"/>
      </c:catAx>
      <c:valAx>
        <c:axId val="61188736"/>
        <c:scaling>
          <c:orientation val="minMax"/>
          <c:max val="65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General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61187200"/>
        <c:crosses val="autoZero"/>
        <c:crossBetween val="between"/>
        <c:majorUnit val="2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150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th-TH"/>
    </a:p>
  </c:txPr>
  <c:printSettings>
    <c:headerFooter alignWithMargins="0"/>
    <c:pageMargins b="1" l="0.75000000000000189" r="0.75000000000000189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2.3294605850962706E-2"/>
          <c:y val="6.9832497480165512E-2"/>
          <c:w val="0.9767053941490389"/>
          <c:h val="0.815643570568332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'yamazumi chart'!$A$23</c:f>
              <c:strCache>
                <c:ptCount val="1"/>
                <c:pt idx="0">
                  <c:v>1</c:v>
                </c:pt>
              </c:strCache>
            </c:strRef>
          </c:tx>
          <c:invertIfNegative val="0"/>
          <c:val>
            <c:numRef>
              <c:f>('yamazumi chart'!$G$23,'yamazumi chart'!$N$23,'yamazumi chart'!$U$23,'yamazumi chart'!$AB$23,'yamazumi chart'!$AI$23,'yamazumi chart'!$AP$23,'yamazumi chart'!$AW$23,'yamazumi chart'!$BD$23)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5BA4-479E-A1FA-18AD327BA8A9}"/>
            </c:ext>
          </c:extLst>
        </c:ser>
        <c:ser>
          <c:idx val="1"/>
          <c:order val="1"/>
          <c:tx>
            <c:strRef>
              <c:f>'yamazumi chart'!$A$24</c:f>
              <c:strCache>
                <c:ptCount val="1"/>
                <c:pt idx="0">
                  <c:v>2</c:v>
                </c:pt>
              </c:strCache>
            </c:strRef>
          </c:tx>
          <c:invertIfNegative val="0"/>
          <c:val>
            <c:numRef>
              <c:f>('yamazumi chart'!$G$24,'yamazumi chart'!$N$24,'yamazumi chart'!$U$24,'yamazumi chart'!$AB$24,'yamazumi chart'!$AI$24,'yamazumi chart'!$AP$24,'yamazumi chart'!$AW$24,'yamazumi chart'!$BD$24)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5BA4-479E-A1FA-18AD327BA8A9}"/>
            </c:ext>
          </c:extLst>
        </c:ser>
        <c:ser>
          <c:idx val="2"/>
          <c:order val="2"/>
          <c:tx>
            <c:strRef>
              <c:f>'yamazumi chart'!$A$25</c:f>
              <c:strCache>
                <c:ptCount val="1"/>
                <c:pt idx="0">
                  <c:v>3</c:v>
                </c:pt>
              </c:strCache>
            </c:strRef>
          </c:tx>
          <c:invertIfNegative val="0"/>
          <c:val>
            <c:numRef>
              <c:f>('yamazumi chart'!$G$25,'yamazumi chart'!$N$25,'yamazumi chart'!$U$25,'yamazumi chart'!$AB$25,'yamazumi chart'!$AI$25,'yamazumi chart'!$AP$25,'yamazumi chart'!$AW$25,'yamazumi chart'!$BD$25)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5BA4-479E-A1FA-18AD327BA8A9}"/>
            </c:ext>
          </c:extLst>
        </c:ser>
        <c:ser>
          <c:idx val="3"/>
          <c:order val="3"/>
          <c:tx>
            <c:strRef>
              <c:f>'yamazumi chart'!$A$26</c:f>
              <c:strCache>
                <c:ptCount val="1"/>
                <c:pt idx="0">
                  <c:v>4</c:v>
                </c:pt>
              </c:strCache>
            </c:strRef>
          </c:tx>
          <c:invertIfNegative val="0"/>
          <c:val>
            <c:numRef>
              <c:f>('yamazumi chart'!$G$26,'yamazumi chart'!$N$26,'yamazumi chart'!$U$26,'yamazumi chart'!$AB$26,'yamazumi chart'!$AI$26,'yamazumi chart'!$AP$26,'yamazumi chart'!$AW$26,'yamazumi chart'!$BD$26)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5BA4-479E-A1FA-18AD327BA8A9}"/>
            </c:ext>
          </c:extLst>
        </c:ser>
        <c:ser>
          <c:idx val="4"/>
          <c:order val="4"/>
          <c:tx>
            <c:strRef>
              <c:f>'yamazumi chart'!$A$27</c:f>
              <c:strCache>
                <c:ptCount val="1"/>
                <c:pt idx="0">
                  <c:v>5</c:v>
                </c:pt>
              </c:strCache>
            </c:strRef>
          </c:tx>
          <c:invertIfNegative val="0"/>
          <c:val>
            <c:numRef>
              <c:f>('yamazumi chart'!$G$27,'yamazumi chart'!$N$27,'yamazumi chart'!$U$27,'yamazumi chart'!$AB$27,'yamazumi chart'!$AI$27,'yamazumi chart'!$AP$27,'yamazumi chart'!$AW$27,'yamazumi chart'!$BD$27)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4-5BA4-479E-A1FA-18AD327BA8A9}"/>
            </c:ext>
          </c:extLst>
        </c:ser>
        <c:ser>
          <c:idx val="5"/>
          <c:order val="5"/>
          <c:tx>
            <c:strRef>
              <c:f>'yamazumi chart'!$A$28</c:f>
              <c:strCache>
                <c:ptCount val="1"/>
                <c:pt idx="0">
                  <c:v>6</c:v>
                </c:pt>
              </c:strCache>
            </c:strRef>
          </c:tx>
          <c:invertIfNegative val="0"/>
          <c:val>
            <c:numRef>
              <c:f>('yamazumi chart'!$G$28,'yamazumi chart'!$N$28,'yamazumi chart'!$U$28,'yamazumi chart'!$AB$28,'yamazumi chart'!$AI$28,'yamazumi chart'!$AP$28,'yamazumi chart'!$AW$28,'yamazumi chart'!$BD$28)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5-5BA4-479E-A1FA-18AD327BA8A9}"/>
            </c:ext>
          </c:extLst>
        </c:ser>
        <c:ser>
          <c:idx val="6"/>
          <c:order val="6"/>
          <c:tx>
            <c:strRef>
              <c:f>'yamazumi chart'!$A$29</c:f>
              <c:strCache>
                <c:ptCount val="1"/>
                <c:pt idx="0">
                  <c:v>7</c:v>
                </c:pt>
              </c:strCache>
            </c:strRef>
          </c:tx>
          <c:invertIfNegative val="0"/>
          <c:val>
            <c:numRef>
              <c:f>('yamazumi chart'!$G$29,'yamazumi chart'!$N$29,'yamazumi chart'!$U$29,'yamazumi chart'!$AB$29,'yamazumi chart'!$AI$29,'yamazumi chart'!$AP$29,'yamazumi chart'!$AW$29,'yamazumi chart'!$BD$29)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5BA4-479E-A1FA-18AD327BA8A9}"/>
            </c:ext>
          </c:extLst>
        </c:ser>
        <c:ser>
          <c:idx val="7"/>
          <c:order val="7"/>
          <c:tx>
            <c:strRef>
              <c:f>'yamazumi chart'!$A$30</c:f>
              <c:strCache>
                <c:ptCount val="1"/>
                <c:pt idx="0">
                  <c:v>8</c:v>
                </c:pt>
              </c:strCache>
            </c:strRef>
          </c:tx>
          <c:invertIfNegative val="0"/>
          <c:val>
            <c:numRef>
              <c:f>('yamazumi chart'!$G$30,'yamazumi chart'!$N$30,'yamazumi chart'!$U$30,'yamazumi chart'!$AB$30,'yamazumi chart'!$AI$30,'yamazumi chart'!$AP$30,'yamazumi chart'!$AW$30,'yamazumi chart'!$BD$30)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7-5BA4-479E-A1FA-18AD327BA8A9}"/>
            </c:ext>
          </c:extLst>
        </c:ser>
        <c:ser>
          <c:idx val="8"/>
          <c:order val="8"/>
          <c:tx>
            <c:strRef>
              <c:f>'yamazumi chart'!$A$31</c:f>
              <c:strCache>
                <c:ptCount val="1"/>
                <c:pt idx="0">
                  <c:v>9</c:v>
                </c:pt>
              </c:strCache>
            </c:strRef>
          </c:tx>
          <c:invertIfNegative val="0"/>
          <c:val>
            <c:numRef>
              <c:f>('yamazumi chart'!$G$31,'yamazumi chart'!$N$31,'yamazumi chart'!$U$31,'yamazumi chart'!$AB$31,'yamazumi chart'!$AI$31,'yamazumi chart'!$AP$31,'yamazumi chart'!$AW$31,'yamazumi chart'!$BD$31)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8-5BA4-479E-A1FA-18AD327BA8A9}"/>
            </c:ext>
          </c:extLst>
        </c:ser>
        <c:ser>
          <c:idx val="9"/>
          <c:order val="9"/>
          <c:tx>
            <c:strRef>
              <c:f>'yamazumi chart'!$A$32</c:f>
              <c:strCache>
                <c:ptCount val="1"/>
                <c:pt idx="0">
                  <c:v>10</c:v>
                </c:pt>
              </c:strCache>
            </c:strRef>
          </c:tx>
          <c:invertIfNegative val="0"/>
          <c:val>
            <c:numRef>
              <c:f>('yamazumi chart'!$G$32,'yamazumi chart'!$N$32,'yamazumi chart'!$U$32,'yamazumi chart'!$AB$32,'yamazumi chart'!$AI$32,'yamazumi chart'!$AP$32,'yamazumi chart'!$AW$32,'yamazumi chart'!$BD$32)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9-5BA4-479E-A1FA-18AD327BA8A9}"/>
            </c:ext>
          </c:extLst>
        </c:ser>
        <c:ser>
          <c:idx val="10"/>
          <c:order val="10"/>
          <c:tx>
            <c:strRef>
              <c:f>'yamazumi chart'!$A$33</c:f>
              <c:strCache>
                <c:ptCount val="1"/>
                <c:pt idx="0">
                  <c:v>11</c:v>
                </c:pt>
              </c:strCache>
            </c:strRef>
          </c:tx>
          <c:invertIfNegative val="0"/>
          <c:val>
            <c:numRef>
              <c:f>('yamazumi chart'!$G$33,'yamazumi chart'!$N$33,'yamazumi chart'!$U$33,'yamazumi chart'!$AB$33,'yamazumi chart'!$AI$33,'yamazumi chart'!$AP$33,'yamazumi chart'!$AW$33,'yamazumi chart'!$BD$33)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A-5BA4-479E-A1FA-18AD327BA8A9}"/>
            </c:ext>
          </c:extLst>
        </c:ser>
        <c:ser>
          <c:idx val="11"/>
          <c:order val="11"/>
          <c:tx>
            <c:strRef>
              <c:f>'yamazumi chart'!$A$34</c:f>
              <c:strCache>
                <c:ptCount val="1"/>
                <c:pt idx="0">
                  <c:v>12</c:v>
                </c:pt>
              </c:strCache>
            </c:strRef>
          </c:tx>
          <c:invertIfNegative val="0"/>
          <c:val>
            <c:numRef>
              <c:f>('yamazumi chart'!$G$34,'yamazumi chart'!$N$34,'yamazumi chart'!$U$34,'yamazumi chart'!$AB$34,'yamazumi chart'!$AI$34,'yamazumi chart'!$AP$34,'yamazumi chart'!$AW$34,'yamazumi chart'!$BD$34)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B-5BA4-479E-A1FA-18AD327BA8A9}"/>
            </c:ext>
          </c:extLst>
        </c:ser>
        <c:ser>
          <c:idx val="12"/>
          <c:order val="12"/>
          <c:tx>
            <c:strRef>
              <c:f>'yamazumi chart'!$A$35</c:f>
              <c:strCache>
                <c:ptCount val="1"/>
                <c:pt idx="0">
                  <c:v>13</c:v>
                </c:pt>
              </c:strCache>
            </c:strRef>
          </c:tx>
          <c:invertIfNegative val="0"/>
          <c:val>
            <c:numRef>
              <c:f>('yamazumi chart'!$G$35,'yamazumi chart'!$N$35,'yamazumi chart'!$U$35,'yamazumi chart'!$AB$35,'yamazumi chart'!$AI$35,'yamazumi chart'!$AP$35,'yamazumi chart'!$AW$35,'yamazumi chart'!$BD$35)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C-5BA4-479E-A1FA-18AD327BA8A9}"/>
            </c:ext>
          </c:extLst>
        </c:ser>
        <c:ser>
          <c:idx val="13"/>
          <c:order val="13"/>
          <c:tx>
            <c:strRef>
              <c:f>'yamazumi chart'!$A$36</c:f>
              <c:strCache>
                <c:ptCount val="1"/>
                <c:pt idx="0">
                  <c:v>14</c:v>
                </c:pt>
              </c:strCache>
            </c:strRef>
          </c:tx>
          <c:invertIfNegative val="0"/>
          <c:val>
            <c:numRef>
              <c:f>('yamazumi chart'!$G$36,'yamazumi chart'!$N$36,'yamazumi chart'!$U$36,'yamazumi chart'!$AB$36,'yamazumi chart'!$AI$36,'yamazumi chart'!$AP$36,'yamazumi chart'!$AW$36,'yamazumi chart'!$BD$36)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D-5BA4-479E-A1FA-18AD327BA8A9}"/>
            </c:ext>
          </c:extLst>
        </c:ser>
        <c:ser>
          <c:idx val="14"/>
          <c:order val="14"/>
          <c:tx>
            <c:strRef>
              <c:f>'yamazumi chart'!$A$37</c:f>
              <c:strCache>
                <c:ptCount val="1"/>
                <c:pt idx="0">
                  <c:v>15</c:v>
                </c:pt>
              </c:strCache>
            </c:strRef>
          </c:tx>
          <c:invertIfNegative val="0"/>
          <c:val>
            <c:numRef>
              <c:f>('yamazumi chart'!$G$37,'yamazumi chart'!$N$37,'yamazumi chart'!$U$37,'yamazumi chart'!$AB$37,'yamazumi chart'!$AI$37,'yamazumi chart'!$AP$37,'yamazumi chart'!$AW$37,'yamazumi chart'!$BD$37)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E-5BA4-479E-A1FA-18AD327BA8A9}"/>
            </c:ext>
          </c:extLst>
        </c:ser>
        <c:ser>
          <c:idx val="15"/>
          <c:order val="15"/>
          <c:tx>
            <c:strRef>
              <c:f>'yamazumi chart'!$A$38</c:f>
              <c:strCache>
                <c:ptCount val="1"/>
                <c:pt idx="0">
                  <c:v>16</c:v>
                </c:pt>
              </c:strCache>
            </c:strRef>
          </c:tx>
          <c:invertIfNegative val="0"/>
          <c:val>
            <c:numRef>
              <c:f>('yamazumi chart'!$G$38,'yamazumi chart'!$N$38,'yamazumi chart'!$U$38,'yamazumi chart'!$AB$38,'yamazumi chart'!$AI$38,'yamazumi chart'!$AP$38,'yamazumi chart'!$AW$38,'yamazumi chart'!$BD$38)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F-5BA4-479E-A1FA-18AD327BA8A9}"/>
            </c:ext>
          </c:extLst>
        </c:ser>
        <c:ser>
          <c:idx val="16"/>
          <c:order val="16"/>
          <c:tx>
            <c:strRef>
              <c:f>'yamazumi chart'!$A$39</c:f>
              <c:strCache>
                <c:ptCount val="1"/>
                <c:pt idx="0">
                  <c:v>17</c:v>
                </c:pt>
              </c:strCache>
            </c:strRef>
          </c:tx>
          <c:invertIfNegative val="0"/>
          <c:val>
            <c:numRef>
              <c:f>('yamazumi chart'!$G$39,'yamazumi chart'!$N$39,'yamazumi chart'!$U$39,'yamazumi chart'!$AB$39,'yamazumi chart'!$AI$39,'yamazumi chart'!$AP$39,'yamazumi chart'!$AW$39,'yamazumi chart'!$BD$39)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0-5BA4-479E-A1FA-18AD327BA8A9}"/>
            </c:ext>
          </c:extLst>
        </c:ser>
        <c:ser>
          <c:idx val="17"/>
          <c:order val="17"/>
          <c:tx>
            <c:strRef>
              <c:f>'yamazumi chart'!$A$40</c:f>
              <c:strCache>
                <c:ptCount val="1"/>
                <c:pt idx="0">
                  <c:v>18</c:v>
                </c:pt>
              </c:strCache>
            </c:strRef>
          </c:tx>
          <c:invertIfNegative val="0"/>
          <c:val>
            <c:numRef>
              <c:f>('yamazumi chart'!$G$40,'yamazumi chart'!$N$40,'yamazumi chart'!$U$40,'yamazumi chart'!$AB$40,'yamazumi chart'!$AI$40,'yamazumi chart'!$AP$40,'yamazumi chart'!$AW$40,'yamazumi chart'!$BD$40)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1-5BA4-479E-A1FA-18AD327BA8A9}"/>
            </c:ext>
          </c:extLst>
        </c:ser>
        <c:ser>
          <c:idx val="18"/>
          <c:order val="18"/>
          <c:tx>
            <c:strRef>
              <c:f>'yamazumi chart'!$A$41</c:f>
              <c:strCache>
                <c:ptCount val="1"/>
                <c:pt idx="0">
                  <c:v>19</c:v>
                </c:pt>
              </c:strCache>
            </c:strRef>
          </c:tx>
          <c:invertIfNegative val="0"/>
          <c:val>
            <c:numRef>
              <c:f>('yamazumi chart'!$G$41,'yamazumi chart'!$N$41,'yamazumi chart'!$U$41,'yamazumi chart'!$AB$41,'yamazumi chart'!$AI$41,'yamazumi chart'!$AP$41,'yamazumi chart'!$AW$41,'yamazumi chart'!$BD$41)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2-5BA4-479E-A1FA-18AD327BA8A9}"/>
            </c:ext>
          </c:extLst>
        </c:ser>
        <c:ser>
          <c:idx val="19"/>
          <c:order val="19"/>
          <c:tx>
            <c:strRef>
              <c:f>'yamazumi chart'!$A$42</c:f>
              <c:strCache>
                <c:ptCount val="1"/>
                <c:pt idx="0">
                  <c:v>20</c:v>
                </c:pt>
              </c:strCache>
            </c:strRef>
          </c:tx>
          <c:invertIfNegative val="0"/>
          <c:val>
            <c:numRef>
              <c:f>('yamazumi chart'!$G$42,'yamazumi chart'!$N$42,'yamazumi chart'!$U$42,'yamazumi chart'!$AB$42,'yamazumi chart'!$AI$42,'yamazumi chart'!$AP$42,'yamazumi chart'!$AW$42,'yamazumi chart'!$BD$42)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3-5BA4-479E-A1FA-18AD327B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12672"/>
        <c:axId val="62414208"/>
      </c:barChart>
      <c:catAx>
        <c:axId val="6241267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th-TH"/>
          </a:p>
        </c:txPr>
        <c:crossAx val="62414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2414208"/>
        <c:scaling>
          <c:orientation val="minMax"/>
          <c:max val="650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th-TH"/>
          </a:p>
        </c:txPr>
        <c:crossAx val="62412672"/>
        <c:crosses val="autoZero"/>
        <c:crossBetween val="between"/>
        <c:majorUnit val="50"/>
      </c:valAx>
    </c:plotArea>
    <c:plotVisOnly val="1"/>
    <c:dispBlanksAs val="gap"/>
    <c:showDLblsOverMax val="0"/>
  </c:chart>
  <c:printSettings>
    <c:headerFooter alignWithMargins="0"/>
    <c:pageMargins b="1" l="0.75000000000000167" r="0.75000000000000167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101601</xdr:rowOff>
    </xdr:from>
    <xdr:to>
      <xdr:col>1</xdr:col>
      <xdr:colOff>1268250</xdr:colOff>
      <xdr:row>2</xdr:row>
      <xdr:rowOff>190501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000" y="101601"/>
          <a:ext cx="1539568" cy="1024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63951</xdr:colOff>
      <xdr:row>0</xdr:row>
      <xdr:rowOff>58510</xdr:rowOff>
    </xdr:from>
    <xdr:to>
      <xdr:col>1</xdr:col>
      <xdr:colOff>1285874</xdr:colOff>
      <xdr:row>1</xdr:row>
      <xdr:rowOff>519545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951" y="58510"/>
          <a:ext cx="2087832" cy="10498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509588</xdr:colOff>
      <xdr:row>4</xdr:row>
      <xdr:rowOff>43543</xdr:rowOff>
    </xdr:from>
    <xdr:to>
      <xdr:col>6</xdr:col>
      <xdr:colOff>843417</xdr:colOff>
      <xdr:row>4</xdr:row>
      <xdr:rowOff>370116</xdr:rowOff>
    </xdr:to>
    <xdr:sp macro="" textlink="">
      <xdr:nvSpPr>
        <xdr:cNvPr id="4" name="Rectangle 1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6772276" y="2091418"/>
          <a:ext cx="333829" cy="32657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411162</xdr:colOff>
      <xdr:row>4</xdr:row>
      <xdr:rowOff>57830</xdr:rowOff>
    </xdr:from>
    <xdr:to>
      <xdr:col>9</xdr:col>
      <xdr:colOff>744990</xdr:colOff>
      <xdr:row>4</xdr:row>
      <xdr:rowOff>384403</xdr:rowOff>
    </xdr:to>
    <xdr:sp macro="" textlink="">
      <xdr:nvSpPr>
        <xdr:cNvPr id="5" name="Rectangle 20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10213253" y="2101375"/>
          <a:ext cx="333828" cy="32657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536863</xdr:colOff>
      <xdr:row>4</xdr:row>
      <xdr:rowOff>121228</xdr:rowOff>
    </xdr:from>
    <xdr:to>
      <xdr:col>19</xdr:col>
      <xdr:colOff>238991</xdr:colOff>
      <xdr:row>4</xdr:row>
      <xdr:rowOff>311728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9933227" y="2164773"/>
          <a:ext cx="914400" cy="19050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554181</xdr:colOff>
      <xdr:row>5</xdr:row>
      <xdr:rowOff>225137</xdr:rowOff>
    </xdr:from>
    <xdr:to>
      <xdr:col>19</xdr:col>
      <xdr:colOff>225137</xdr:colOff>
      <xdr:row>5</xdr:row>
      <xdr:rowOff>226725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19950545" y="2718955"/>
          <a:ext cx="883228" cy="1588"/>
        </a:xfrm>
        <a:prstGeom prst="line">
          <a:avLst/>
        </a:prstGeom>
        <a:ln w="28575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629478</xdr:rowOff>
    </xdr:from>
    <xdr:to>
      <xdr:col>13</xdr:col>
      <xdr:colOff>0</xdr:colOff>
      <xdr:row>7</xdr:row>
      <xdr:rowOff>12003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rot="5400000" flipH="1" flipV="1">
          <a:off x="15116455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629478</xdr:rowOff>
    </xdr:from>
    <xdr:to>
      <xdr:col>13</xdr:col>
      <xdr:colOff>0</xdr:colOff>
      <xdr:row>7</xdr:row>
      <xdr:rowOff>12003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 rot="5400000" flipH="1" flipV="1">
          <a:off x="15724590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629478</xdr:rowOff>
    </xdr:from>
    <xdr:to>
      <xdr:col>13</xdr:col>
      <xdr:colOff>0</xdr:colOff>
      <xdr:row>7</xdr:row>
      <xdr:rowOff>12003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 rot="5400000" flipH="1" flipV="1">
          <a:off x="16332724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3517</xdr:colOff>
      <xdr:row>6</xdr:row>
      <xdr:rowOff>629478</xdr:rowOff>
    </xdr:from>
    <xdr:to>
      <xdr:col>13</xdr:col>
      <xdr:colOff>3823</xdr:colOff>
      <xdr:row>7</xdr:row>
      <xdr:rowOff>12003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 rot="5400000" flipH="1" flipV="1">
          <a:off x="16940859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3516</xdr:colOff>
      <xdr:row>6</xdr:row>
      <xdr:rowOff>629478</xdr:rowOff>
    </xdr:from>
    <xdr:to>
      <xdr:col>14</xdr:col>
      <xdr:colOff>3822</xdr:colOff>
      <xdr:row>7</xdr:row>
      <xdr:rowOff>12003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rot="5400000" flipH="1" flipV="1">
          <a:off x="17548993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3516</xdr:colOff>
      <xdr:row>6</xdr:row>
      <xdr:rowOff>629478</xdr:rowOff>
    </xdr:from>
    <xdr:to>
      <xdr:col>14</xdr:col>
      <xdr:colOff>3822</xdr:colOff>
      <xdr:row>7</xdr:row>
      <xdr:rowOff>12003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rot="5400000" flipH="1" flipV="1">
          <a:off x="17548993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3516</xdr:colOff>
      <xdr:row>6</xdr:row>
      <xdr:rowOff>629478</xdr:rowOff>
    </xdr:from>
    <xdr:to>
      <xdr:col>15</xdr:col>
      <xdr:colOff>3822</xdr:colOff>
      <xdr:row>7</xdr:row>
      <xdr:rowOff>12003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 rot="5400000" flipH="1" flipV="1">
          <a:off x="18157128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3517</xdr:colOff>
      <xdr:row>6</xdr:row>
      <xdr:rowOff>629478</xdr:rowOff>
    </xdr:from>
    <xdr:to>
      <xdr:col>16</xdr:col>
      <xdr:colOff>3823</xdr:colOff>
      <xdr:row>7</xdr:row>
      <xdr:rowOff>12003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 rot="5400000" flipH="1" flipV="1">
          <a:off x="18765263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3516</xdr:colOff>
      <xdr:row>6</xdr:row>
      <xdr:rowOff>629478</xdr:rowOff>
    </xdr:from>
    <xdr:to>
      <xdr:col>17</xdr:col>
      <xdr:colOff>3822</xdr:colOff>
      <xdr:row>7</xdr:row>
      <xdr:rowOff>12003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 rot="5400000" flipH="1" flipV="1">
          <a:off x="19373397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3516</xdr:colOff>
      <xdr:row>6</xdr:row>
      <xdr:rowOff>629478</xdr:rowOff>
    </xdr:from>
    <xdr:to>
      <xdr:col>17</xdr:col>
      <xdr:colOff>3822</xdr:colOff>
      <xdr:row>7</xdr:row>
      <xdr:rowOff>12003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 rot="5400000" flipH="1" flipV="1">
          <a:off x="19373397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3516</xdr:colOff>
      <xdr:row>6</xdr:row>
      <xdr:rowOff>629478</xdr:rowOff>
    </xdr:from>
    <xdr:to>
      <xdr:col>18</xdr:col>
      <xdr:colOff>3822</xdr:colOff>
      <xdr:row>7</xdr:row>
      <xdr:rowOff>12003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>
        <a:xfrm rot="5400000" flipH="1" flipV="1">
          <a:off x="19981532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3516</xdr:colOff>
      <xdr:row>6</xdr:row>
      <xdr:rowOff>629478</xdr:rowOff>
    </xdr:from>
    <xdr:to>
      <xdr:col>18</xdr:col>
      <xdr:colOff>3822</xdr:colOff>
      <xdr:row>7</xdr:row>
      <xdr:rowOff>12003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 rot="5400000" flipH="1" flipV="1">
          <a:off x="19981532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3517</xdr:colOff>
      <xdr:row>6</xdr:row>
      <xdr:rowOff>629478</xdr:rowOff>
    </xdr:from>
    <xdr:to>
      <xdr:col>19</xdr:col>
      <xdr:colOff>3823</xdr:colOff>
      <xdr:row>7</xdr:row>
      <xdr:rowOff>12003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rot="5400000" flipH="1" flipV="1">
          <a:off x="20589667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3516</xdr:colOff>
      <xdr:row>6</xdr:row>
      <xdr:rowOff>629478</xdr:rowOff>
    </xdr:from>
    <xdr:to>
      <xdr:col>20</xdr:col>
      <xdr:colOff>3822</xdr:colOff>
      <xdr:row>7</xdr:row>
      <xdr:rowOff>12003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 rot="5400000" flipH="1" flipV="1">
          <a:off x="21197801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3517</xdr:colOff>
      <xdr:row>6</xdr:row>
      <xdr:rowOff>629478</xdr:rowOff>
    </xdr:from>
    <xdr:to>
      <xdr:col>21</xdr:col>
      <xdr:colOff>3823</xdr:colOff>
      <xdr:row>7</xdr:row>
      <xdr:rowOff>12003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/>
      </xdr:nvCxnSpPr>
      <xdr:spPr>
        <a:xfrm rot="5400000" flipH="1" flipV="1">
          <a:off x="21805936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3517</xdr:colOff>
      <xdr:row>6</xdr:row>
      <xdr:rowOff>629478</xdr:rowOff>
    </xdr:from>
    <xdr:to>
      <xdr:col>21</xdr:col>
      <xdr:colOff>3823</xdr:colOff>
      <xdr:row>7</xdr:row>
      <xdr:rowOff>12003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/>
      </xdr:nvCxnSpPr>
      <xdr:spPr>
        <a:xfrm rot="5400000" flipH="1" flipV="1">
          <a:off x="21805936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3516</xdr:colOff>
      <xdr:row>6</xdr:row>
      <xdr:rowOff>629478</xdr:rowOff>
    </xdr:from>
    <xdr:to>
      <xdr:col>22</xdr:col>
      <xdr:colOff>3822</xdr:colOff>
      <xdr:row>7</xdr:row>
      <xdr:rowOff>12003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/>
      </xdr:nvCxnSpPr>
      <xdr:spPr>
        <a:xfrm rot="5400000" flipH="1" flipV="1">
          <a:off x="22414070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3516</xdr:colOff>
      <xdr:row>6</xdr:row>
      <xdr:rowOff>629478</xdr:rowOff>
    </xdr:from>
    <xdr:to>
      <xdr:col>22</xdr:col>
      <xdr:colOff>3822</xdr:colOff>
      <xdr:row>7</xdr:row>
      <xdr:rowOff>12003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 rot="5400000" flipH="1" flipV="1">
          <a:off x="22414070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445834</xdr:colOff>
      <xdr:row>6</xdr:row>
      <xdr:rowOff>404213</xdr:rowOff>
    </xdr:from>
    <xdr:ext cx="340606" cy="287643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14991069" y="3261713"/>
          <a:ext cx="34060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20</a:t>
          </a:r>
          <a:endParaRPr lang="th-TH" sz="1200" b="1"/>
        </a:p>
      </xdr:txBody>
    </xdr:sp>
    <xdr:clientData/>
  </xdr:oneCellAnchor>
  <xdr:oneCellAnchor>
    <xdr:from>
      <xdr:col>14</xdr:col>
      <xdr:colOff>438624</xdr:colOff>
      <xdr:row>6</xdr:row>
      <xdr:rowOff>407416</xdr:rowOff>
    </xdr:from>
    <xdr:ext cx="340606" cy="287643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15588977" y="3264916"/>
          <a:ext cx="34060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40</a:t>
          </a:r>
          <a:endParaRPr lang="th-TH" sz="1200" b="1"/>
        </a:p>
      </xdr:txBody>
    </xdr:sp>
    <xdr:clientData/>
  </xdr:oneCellAnchor>
  <xdr:oneCellAnchor>
    <xdr:from>
      <xdr:col>15</xdr:col>
      <xdr:colOff>437822</xdr:colOff>
      <xdr:row>6</xdr:row>
      <xdr:rowOff>405014</xdr:rowOff>
    </xdr:from>
    <xdr:ext cx="340606" cy="287643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16193293" y="3262514"/>
          <a:ext cx="34060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60</a:t>
          </a:r>
          <a:endParaRPr lang="th-TH" sz="1200" b="1"/>
        </a:p>
      </xdr:txBody>
    </xdr:sp>
    <xdr:clientData/>
  </xdr:oneCellAnchor>
  <xdr:oneCellAnchor>
    <xdr:from>
      <xdr:col>16</xdr:col>
      <xdr:colOff>426616</xdr:colOff>
      <xdr:row>6</xdr:row>
      <xdr:rowOff>393807</xdr:rowOff>
    </xdr:from>
    <xdr:ext cx="340606" cy="287643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16787204" y="3251307"/>
          <a:ext cx="34060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80</a:t>
          </a:r>
          <a:endParaRPr lang="th-TH" sz="1200" b="1"/>
        </a:p>
      </xdr:txBody>
    </xdr:sp>
    <xdr:clientData/>
  </xdr:oneCellAnchor>
  <xdr:oneCellAnchor>
    <xdr:from>
      <xdr:col>17</xdr:col>
      <xdr:colOff>404199</xdr:colOff>
      <xdr:row>6</xdr:row>
      <xdr:rowOff>382601</xdr:rowOff>
    </xdr:from>
    <xdr:ext cx="418576" cy="287643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17369905" y="3240101"/>
          <a:ext cx="41857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100</a:t>
          </a:r>
          <a:endParaRPr lang="th-TH" sz="1200" b="1"/>
        </a:p>
      </xdr:txBody>
    </xdr:sp>
    <xdr:clientData/>
  </xdr:oneCellAnchor>
  <xdr:oneCellAnchor>
    <xdr:from>
      <xdr:col>18</xdr:col>
      <xdr:colOff>404192</xdr:colOff>
      <xdr:row>6</xdr:row>
      <xdr:rowOff>405013</xdr:rowOff>
    </xdr:from>
    <xdr:ext cx="418576" cy="287643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17975016" y="3262513"/>
          <a:ext cx="41857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120</a:t>
          </a:r>
          <a:endParaRPr lang="th-TH" sz="1200" b="1"/>
        </a:p>
      </xdr:txBody>
    </xdr:sp>
    <xdr:clientData/>
  </xdr:oneCellAnchor>
  <xdr:oneCellAnchor>
    <xdr:from>
      <xdr:col>19</xdr:col>
      <xdr:colOff>404204</xdr:colOff>
      <xdr:row>6</xdr:row>
      <xdr:rowOff>416219</xdr:rowOff>
    </xdr:from>
    <xdr:ext cx="418576" cy="287643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18580145" y="3273719"/>
          <a:ext cx="41857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140</a:t>
          </a:r>
          <a:endParaRPr lang="th-TH" sz="1200" b="1"/>
        </a:p>
      </xdr:txBody>
    </xdr:sp>
    <xdr:clientData/>
  </xdr:oneCellAnchor>
  <xdr:oneCellAnchor>
    <xdr:from>
      <xdr:col>20</xdr:col>
      <xdr:colOff>381787</xdr:colOff>
      <xdr:row>6</xdr:row>
      <xdr:rowOff>405013</xdr:rowOff>
    </xdr:from>
    <xdr:ext cx="418576" cy="287643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19162846" y="3262513"/>
          <a:ext cx="41857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160</a:t>
          </a:r>
          <a:endParaRPr lang="th-TH" sz="1200" b="1"/>
        </a:p>
      </xdr:txBody>
    </xdr:sp>
    <xdr:clientData/>
  </xdr:oneCellAnchor>
  <xdr:oneCellAnchor>
    <xdr:from>
      <xdr:col>21</xdr:col>
      <xdr:colOff>381781</xdr:colOff>
      <xdr:row>6</xdr:row>
      <xdr:rowOff>427425</xdr:rowOff>
    </xdr:from>
    <xdr:ext cx="418576" cy="287643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19767957" y="3284925"/>
          <a:ext cx="41857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180</a:t>
          </a:r>
          <a:endParaRPr lang="th-TH" sz="1200" b="1"/>
        </a:p>
      </xdr:txBody>
    </xdr:sp>
    <xdr:clientData/>
  </xdr:oneCellAnchor>
  <xdr:twoCellAnchor>
    <xdr:from>
      <xdr:col>13</xdr:col>
      <xdr:colOff>309479</xdr:colOff>
      <xdr:row>6</xdr:row>
      <xdr:rowOff>629478</xdr:rowOff>
    </xdr:from>
    <xdr:to>
      <xdr:col>13</xdr:col>
      <xdr:colOff>309785</xdr:colOff>
      <xdr:row>7</xdr:row>
      <xdr:rowOff>12003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 rot="5400000" flipH="1" flipV="1">
          <a:off x="14814283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302151</xdr:colOff>
      <xdr:row>6</xdr:row>
      <xdr:rowOff>629478</xdr:rowOff>
    </xdr:from>
    <xdr:to>
      <xdr:col>14</xdr:col>
      <xdr:colOff>302457</xdr:colOff>
      <xdr:row>7</xdr:row>
      <xdr:rowOff>12003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CxnSpPr/>
      </xdr:nvCxnSpPr>
      <xdr:spPr>
        <a:xfrm rot="5400000" flipH="1" flipV="1">
          <a:off x="15415090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294825</xdr:colOff>
      <xdr:row>6</xdr:row>
      <xdr:rowOff>629478</xdr:rowOff>
    </xdr:from>
    <xdr:to>
      <xdr:col>15</xdr:col>
      <xdr:colOff>295131</xdr:colOff>
      <xdr:row>7</xdr:row>
      <xdr:rowOff>12003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CxnSpPr/>
      </xdr:nvCxnSpPr>
      <xdr:spPr>
        <a:xfrm rot="5400000" flipH="1" flipV="1">
          <a:off x="16015898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287497</xdr:colOff>
      <xdr:row>6</xdr:row>
      <xdr:rowOff>629478</xdr:rowOff>
    </xdr:from>
    <xdr:to>
      <xdr:col>16</xdr:col>
      <xdr:colOff>287803</xdr:colOff>
      <xdr:row>7</xdr:row>
      <xdr:rowOff>12003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/>
      </xdr:nvCxnSpPr>
      <xdr:spPr>
        <a:xfrm rot="5400000" flipH="1" flipV="1">
          <a:off x="16616705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302152</xdr:colOff>
      <xdr:row>6</xdr:row>
      <xdr:rowOff>629478</xdr:rowOff>
    </xdr:from>
    <xdr:to>
      <xdr:col>17</xdr:col>
      <xdr:colOff>302458</xdr:colOff>
      <xdr:row>7</xdr:row>
      <xdr:rowOff>12003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/>
      </xdr:nvCxnSpPr>
      <xdr:spPr>
        <a:xfrm rot="5400000" flipH="1" flipV="1">
          <a:off x="17239494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294824</xdr:colOff>
      <xdr:row>6</xdr:row>
      <xdr:rowOff>629478</xdr:rowOff>
    </xdr:from>
    <xdr:to>
      <xdr:col>18</xdr:col>
      <xdr:colOff>295130</xdr:colOff>
      <xdr:row>7</xdr:row>
      <xdr:rowOff>12003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CxnSpPr/>
      </xdr:nvCxnSpPr>
      <xdr:spPr>
        <a:xfrm rot="5400000" flipH="1" flipV="1">
          <a:off x="17840301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316805</xdr:colOff>
      <xdr:row>6</xdr:row>
      <xdr:rowOff>629478</xdr:rowOff>
    </xdr:from>
    <xdr:to>
      <xdr:col>19</xdr:col>
      <xdr:colOff>317111</xdr:colOff>
      <xdr:row>7</xdr:row>
      <xdr:rowOff>12003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/>
      </xdr:nvCxnSpPr>
      <xdr:spPr>
        <a:xfrm rot="5400000" flipH="1" flipV="1">
          <a:off x="18470417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309478</xdr:colOff>
      <xdr:row>6</xdr:row>
      <xdr:rowOff>629478</xdr:rowOff>
    </xdr:from>
    <xdr:to>
      <xdr:col>20</xdr:col>
      <xdr:colOff>309784</xdr:colOff>
      <xdr:row>7</xdr:row>
      <xdr:rowOff>12003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CxnSpPr/>
      </xdr:nvCxnSpPr>
      <xdr:spPr>
        <a:xfrm rot="5400000" flipH="1" flipV="1">
          <a:off x="19071224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309478</xdr:colOff>
      <xdr:row>6</xdr:row>
      <xdr:rowOff>629478</xdr:rowOff>
    </xdr:from>
    <xdr:to>
      <xdr:col>21</xdr:col>
      <xdr:colOff>309784</xdr:colOff>
      <xdr:row>7</xdr:row>
      <xdr:rowOff>12003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CxnSpPr/>
      </xdr:nvCxnSpPr>
      <xdr:spPr>
        <a:xfrm rot="5400000" flipH="1" flipV="1">
          <a:off x="19679359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28575</xdr:colOff>
      <xdr:row>7</xdr:row>
      <xdr:rowOff>0</xdr:rowOff>
    </xdr:from>
    <xdr:to>
      <xdr:col>25</xdr:col>
      <xdr:colOff>114300</xdr:colOff>
      <xdr:row>7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19116675" y="1876425"/>
          <a:ext cx="3429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Cordia New"/>
              <a:cs typeface="Cordia New"/>
            </a:rPr>
            <a:t>M/C.</a:t>
          </a:r>
        </a:p>
        <a:p>
          <a:pPr algn="l" rtl="0">
            <a:defRPr sz="1000"/>
          </a:pPr>
          <a:endParaRPr lang="en-US" sz="1400" b="0" i="0" strike="noStrike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7</xdr:col>
      <xdr:colOff>2</xdr:colOff>
      <xdr:row>8</xdr:row>
      <xdr:rowOff>3341</xdr:rowOff>
    </xdr:from>
    <xdr:to>
      <xdr:col>17</xdr:col>
      <xdr:colOff>400052</xdr:colOff>
      <xdr:row>39</xdr:row>
      <xdr:rowOff>308016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31</xdr:row>
      <xdr:rowOff>133350</xdr:rowOff>
    </xdr:from>
    <xdr:to>
      <xdr:col>15</xdr:col>
      <xdr:colOff>0</xdr:colOff>
      <xdr:row>31</xdr:row>
      <xdr:rowOff>133350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6221075" y="9639300"/>
          <a:ext cx="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15</xdr:col>
      <xdr:colOff>0</xdr:colOff>
      <xdr:row>10</xdr:row>
      <xdr:rowOff>104775</xdr:rowOff>
    </xdr:from>
    <xdr:to>
      <xdr:col>15</xdr:col>
      <xdr:colOff>0</xdr:colOff>
      <xdr:row>11</xdr:row>
      <xdr:rowOff>142875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16221075" y="3009900"/>
          <a:ext cx="0" cy="3524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FF"/>
              </a:solidFill>
              <a:latin typeface="Cordia New"/>
              <a:cs typeface="Cordia New"/>
            </a:rPr>
            <a:t>47 sec</a:t>
          </a:r>
          <a:r>
            <a:rPr lang="en-US" sz="1400" b="0" i="0" strike="noStrike">
              <a:solidFill>
                <a:srgbClr val="000000"/>
              </a:solidFill>
              <a:latin typeface="Cordia New"/>
              <a:cs typeface="Cordia New"/>
            </a:rPr>
            <a:t>.</a:t>
          </a:r>
        </a:p>
      </xdr:txBody>
    </xdr:sp>
    <xdr:clientData/>
  </xdr:twoCellAnchor>
  <xdr:twoCellAnchor>
    <xdr:from>
      <xdr:col>12</xdr:col>
      <xdr:colOff>133350</xdr:colOff>
      <xdr:row>7</xdr:row>
      <xdr:rowOff>57151</xdr:rowOff>
    </xdr:from>
    <xdr:to>
      <xdr:col>12</xdr:col>
      <xdr:colOff>638175</xdr:colOff>
      <xdr:row>7</xdr:row>
      <xdr:rowOff>190501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14049375" y="1933576"/>
          <a:ext cx="504825" cy="133350"/>
        </a:xfrm>
        <a:prstGeom prst="leftRightArrow">
          <a:avLst>
            <a:gd name="adj1" fmla="val 50000"/>
            <a:gd name="adj2" fmla="val 132500"/>
          </a:avLst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190500</xdr:colOff>
      <xdr:row>4</xdr:row>
      <xdr:rowOff>171450</xdr:rowOff>
    </xdr:from>
    <xdr:to>
      <xdr:col>12</xdr:col>
      <xdr:colOff>609600</xdr:colOff>
      <xdr:row>4</xdr:row>
      <xdr:rowOff>171450</xdr:rowOff>
    </xdr:to>
    <xdr:sp macro="" textlink="">
      <xdr:nvSpPr>
        <xdr:cNvPr id="7" name="Line 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ShapeType="1"/>
        </xdr:cNvSpPr>
      </xdr:nvSpPr>
      <xdr:spPr bwMode="auto">
        <a:xfrm>
          <a:off x="14106525" y="1333500"/>
          <a:ext cx="419100" cy="0"/>
        </a:xfrm>
        <a:prstGeom prst="line">
          <a:avLst/>
        </a:prstGeom>
        <a:noFill/>
        <a:ln w="381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8</xdr:col>
      <xdr:colOff>123825</xdr:colOff>
      <xdr:row>7</xdr:row>
      <xdr:rowOff>66675</xdr:rowOff>
    </xdr:from>
    <xdr:to>
      <xdr:col>8</xdr:col>
      <xdr:colOff>295275</xdr:colOff>
      <xdr:row>7</xdr:row>
      <xdr:rowOff>190500</xdr:rowOff>
    </xdr:to>
    <xdr:sp macro="" textlink="">
      <xdr:nvSpPr>
        <xdr:cNvPr id="8" name="Rectangle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10610850" y="1943100"/>
          <a:ext cx="1714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123825</xdr:colOff>
      <xdr:row>7</xdr:row>
      <xdr:rowOff>76200</xdr:rowOff>
    </xdr:from>
    <xdr:to>
      <xdr:col>10</xdr:col>
      <xdr:colOff>295275</xdr:colOff>
      <xdr:row>7</xdr:row>
      <xdr:rowOff>200025</xdr:rowOff>
    </xdr:to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12620625" y="1952625"/>
          <a:ext cx="1714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32017</xdr:colOff>
      <xdr:row>0</xdr:row>
      <xdr:rowOff>78442</xdr:rowOff>
    </xdr:from>
    <xdr:to>
      <xdr:col>1</xdr:col>
      <xdr:colOff>1034891</xdr:colOff>
      <xdr:row>2</xdr:row>
      <xdr:rowOff>90516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017" y="78442"/>
          <a:ext cx="1383874" cy="6121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</xdr:col>
      <xdr:colOff>57150</xdr:colOff>
      <xdr:row>6</xdr:row>
      <xdr:rowOff>9525</xdr:rowOff>
    </xdr:from>
    <xdr:to>
      <xdr:col>12</xdr:col>
      <xdr:colOff>628650</xdr:colOff>
      <xdr:row>6</xdr:row>
      <xdr:rowOff>247650</xdr:rowOff>
    </xdr:to>
    <xdr:sp macro="" textlink="">
      <xdr:nvSpPr>
        <xdr:cNvPr id="11" name="Freeform 2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/>
        </xdr:cNvSpPr>
      </xdr:nvSpPr>
      <xdr:spPr bwMode="auto">
        <a:xfrm>
          <a:off x="13973175" y="1647825"/>
          <a:ext cx="571500" cy="228600"/>
        </a:xfrm>
        <a:custGeom>
          <a:avLst/>
          <a:gdLst/>
          <a:ahLst/>
          <a:cxnLst>
            <a:cxn ang="0">
              <a:pos x="0" y="21"/>
            </a:cxn>
            <a:cxn ang="0">
              <a:pos x="7" y="2"/>
            </a:cxn>
            <a:cxn ang="0">
              <a:pos x="14" y="22"/>
            </a:cxn>
            <a:cxn ang="0">
              <a:pos x="20" y="3"/>
            </a:cxn>
            <a:cxn ang="0">
              <a:pos x="25" y="21"/>
            </a:cxn>
            <a:cxn ang="0">
              <a:pos x="31" y="1"/>
            </a:cxn>
            <a:cxn ang="0">
              <a:pos x="40" y="27"/>
            </a:cxn>
            <a:cxn ang="0">
              <a:pos x="48" y="2"/>
            </a:cxn>
            <a:cxn ang="0">
              <a:pos x="55" y="22"/>
            </a:cxn>
            <a:cxn ang="0">
              <a:pos x="60" y="10"/>
            </a:cxn>
          </a:cxnLst>
          <a:rect l="0" t="0" r="r" b="b"/>
          <a:pathLst>
            <a:path w="60" h="27">
              <a:moveTo>
                <a:pt x="0" y="21"/>
              </a:moveTo>
              <a:cubicBezTo>
                <a:pt x="2" y="11"/>
                <a:pt x="5" y="2"/>
                <a:pt x="7" y="2"/>
              </a:cubicBezTo>
              <a:cubicBezTo>
                <a:pt x="9" y="2"/>
                <a:pt x="12" y="22"/>
                <a:pt x="14" y="22"/>
              </a:cubicBezTo>
              <a:cubicBezTo>
                <a:pt x="16" y="22"/>
                <a:pt x="18" y="3"/>
                <a:pt x="20" y="3"/>
              </a:cubicBezTo>
              <a:cubicBezTo>
                <a:pt x="22" y="3"/>
                <a:pt x="27" y="21"/>
                <a:pt x="25" y="21"/>
              </a:cubicBezTo>
              <a:cubicBezTo>
                <a:pt x="23" y="21"/>
                <a:pt x="29" y="0"/>
                <a:pt x="31" y="1"/>
              </a:cubicBezTo>
              <a:cubicBezTo>
                <a:pt x="33" y="2"/>
                <a:pt x="37" y="27"/>
                <a:pt x="40" y="27"/>
              </a:cubicBezTo>
              <a:cubicBezTo>
                <a:pt x="43" y="27"/>
                <a:pt x="45" y="3"/>
                <a:pt x="48" y="2"/>
              </a:cubicBezTo>
              <a:cubicBezTo>
                <a:pt x="51" y="1"/>
                <a:pt x="53" y="21"/>
                <a:pt x="55" y="22"/>
              </a:cubicBezTo>
              <a:cubicBezTo>
                <a:pt x="57" y="23"/>
                <a:pt x="56" y="7"/>
                <a:pt x="60" y="10"/>
              </a:cubicBezTo>
            </a:path>
          </a:pathLst>
        </a:custGeom>
        <a:noFill/>
        <a:ln w="19050" cmpd="sng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80596</xdr:colOff>
      <xdr:row>5</xdr:row>
      <xdr:rowOff>139212</xdr:rowOff>
    </xdr:from>
    <xdr:to>
      <xdr:col>12</xdr:col>
      <xdr:colOff>681403</xdr:colOff>
      <xdr:row>5</xdr:row>
      <xdr:rowOff>139212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>
          <a:off x="13996621" y="1539387"/>
          <a:ext cx="600807" cy="0"/>
        </a:xfrm>
        <a:prstGeom prst="line">
          <a:avLst/>
        </a:prstGeom>
        <a:ln w="1905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38100</xdr:colOff>
      <xdr:row>7</xdr:row>
      <xdr:rowOff>190500</xdr:rowOff>
    </xdr:from>
    <xdr:to>
      <xdr:col>36</xdr:col>
      <xdr:colOff>285750</xdr:colOff>
      <xdr:row>9</xdr:row>
      <xdr:rowOff>142875</xdr:rowOff>
    </xdr:to>
    <xdr:sp macro="" textlink="">
      <xdr:nvSpPr>
        <xdr:cNvPr id="2" name="AutoShape 1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13239750" y="2533650"/>
          <a:ext cx="609600" cy="52387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200025</xdr:colOff>
      <xdr:row>4</xdr:row>
      <xdr:rowOff>190500</xdr:rowOff>
    </xdr:from>
    <xdr:to>
      <xdr:col>20</xdr:col>
      <xdr:colOff>200025</xdr:colOff>
      <xdr:row>5</xdr:row>
      <xdr:rowOff>190500</xdr:rowOff>
    </xdr:to>
    <xdr:sp macro="" textlink="">
      <xdr:nvSpPr>
        <xdr:cNvPr id="3" name="Rectangle 1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7439025" y="825500"/>
          <a:ext cx="381000" cy="317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196850</xdr:colOff>
      <xdr:row>4</xdr:row>
      <xdr:rowOff>180975</xdr:rowOff>
    </xdr:from>
    <xdr:to>
      <xdr:col>25</xdr:col>
      <xdr:colOff>196850</xdr:colOff>
      <xdr:row>5</xdr:row>
      <xdr:rowOff>180975</xdr:rowOff>
    </xdr:to>
    <xdr:sp macro="" textlink="">
      <xdr:nvSpPr>
        <xdr:cNvPr id="4" name="Rectangle 2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9340850" y="815975"/>
          <a:ext cx="381000" cy="317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95250</xdr:colOff>
      <xdr:row>15</xdr:row>
      <xdr:rowOff>209550</xdr:rowOff>
    </xdr:from>
    <xdr:to>
      <xdr:col>36</xdr:col>
      <xdr:colOff>276225</xdr:colOff>
      <xdr:row>17</xdr:row>
      <xdr:rowOff>123825</xdr:rowOff>
    </xdr:to>
    <xdr:sp macro="" textlink="">
      <xdr:nvSpPr>
        <xdr:cNvPr id="5" name="Oval 18" descr="Wide upward diagonal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13296900" y="4838700"/>
          <a:ext cx="542925" cy="485775"/>
        </a:xfrm>
        <a:prstGeom prst="ellipse">
          <a:avLst/>
        </a:prstGeom>
        <a:pattFill prst="wdUpDiag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333376</xdr:colOff>
      <xdr:row>11</xdr:row>
      <xdr:rowOff>71439</xdr:rowOff>
    </xdr:from>
    <xdr:to>
      <xdr:col>37</xdr:col>
      <xdr:colOff>23813</xdr:colOff>
      <xdr:row>13</xdr:row>
      <xdr:rowOff>261939</xdr:rowOff>
    </xdr:to>
    <xdr:sp macro="" textlink="">
      <xdr:nvSpPr>
        <xdr:cNvPr id="6" name="Plus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3173076" y="3557589"/>
          <a:ext cx="776287" cy="762000"/>
        </a:xfrm>
        <a:prstGeom prst="mathPlus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98049</xdr:colOff>
      <xdr:row>0</xdr:row>
      <xdr:rowOff>14007</xdr:rowOff>
    </xdr:from>
    <xdr:to>
      <xdr:col>5</xdr:col>
      <xdr:colOff>17927</xdr:colOff>
      <xdr:row>1</xdr:row>
      <xdr:rowOff>286870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049" y="14007"/>
          <a:ext cx="1177178" cy="5871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42021</xdr:rowOff>
    </xdr:from>
    <xdr:to>
      <xdr:col>56</xdr:col>
      <xdr:colOff>1400</xdr:colOff>
      <xdr:row>19</xdr:row>
      <xdr:rowOff>198437</xdr:rowOff>
    </xdr:to>
    <xdr:graphicFrame macro="">
      <xdr:nvGraphicFramePr>
        <xdr:cNvPr id="5" name="Chart 2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98049</xdr:colOff>
      <xdr:row>0</xdr:row>
      <xdr:rowOff>14007</xdr:rowOff>
    </xdr:from>
    <xdr:to>
      <xdr:col>4</xdr:col>
      <xdr:colOff>17927</xdr:colOff>
      <xdr:row>1</xdr:row>
      <xdr:rowOff>286870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8049" y="14007"/>
          <a:ext cx="1152525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101600</xdr:rowOff>
    </xdr:from>
    <xdr:to>
      <xdr:col>1</xdr:col>
      <xdr:colOff>873125</xdr:colOff>
      <xdr:row>1</xdr:row>
      <xdr:rowOff>301625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000" y="101600"/>
          <a:ext cx="1146175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view="pageBreakPreview" topLeftCell="A20" zoomScaleNormal="75" zoomScaleSheetLayoutView="100" workbookViewId="0">
      <selection activeCell="B11" sqref="B11"/>
    </sheetView>
  </sheetViews>
  <sheetFormatPr defaultColWidth="9.109375" defaultRowHeight="21.6" x14ac:dyDescent="0.45"/>
  <cols>
    <col min="1" max="1" width="6" style="2" customWidth="1"/>
    <col min="2" max="2" width="79.6640625" style="2" customWidth="1"/>
    <col min="3" max="17" width="13.33203125" style="2" customWidth="1"/>
    <col min="18" max="16384" width="9.109375" style="2"/>
  </cols>
  <sheetData>
    <row r="1" spans="1:19" ht="36.75" customHeight="1" x14ac:dyDescent="0.6">
      <c r="A1" s="1"/>
      <c r="B1" s="202" t="s">
        <v>61</v>
      </c>
      <c r="C1" s="202"/>
      <c r="D1" s="202"/>
      <c r="E1" s="202"/>
      <c r="F1" s="202"/>
      <c r="G1" s="201" t="s">
        <v>1</v>
      </c>
      <c r="H1" s="201"/>
      <c r="I1" s="201"/>
      <c r="J1" s="201"/>
      <c r="K1" s="201"/>
      <c r="L1" s="201"/>
      <c r="N1" s="200" t="s">
        <v>2</v>
      </c>
      <c r="O1" s="200"/>
      <c r="P1" s="200"/>
      <c r="Q1" s="200"/>
    </row>
    <row r="2" spans="1:19" ht="36.75" customHeight="1" x14ac:dyDescent="0.45">
      <c r="B2" s="203" t="s">
        <v>62</v>
      </c>
      <c r="C2" s="203"/>
      <c r="D2" s="203"/>
      <c r="E2" s="203"/>
      <c r="F2" s="203"/>
    </row>
    <row r="3" spans="1:19" ht="30" customHeight="1" x14ac:dyDescent="0.6">
      <c r="F3" s="146"/>
      <c r="G3" s="201" t="s">
        <v>0</v>
      </c>
      <c r="H3" s="201"/>
      <c r="I3" s="201"/>
      <c r="J3" s="201"/>
      <c r="K3" s="201"/>
      <c r="L3" s="201"/>
      <c r="N3" s="200" t="s">
        <v>3</v>
      </c>
      <c r="O3" s="200"/>
      <c r="P3" s="200"/>
      <c r="Q3" s="200"/>
    </row>
    <row r="4" spans="1:19" ht="30" customHeight="1" x14ac:dyDescent="0.6">
      <c r="B4" s="147" t="s">
        <v>63</v>
      </c>
      <c r="C4" s="201" t="s">
        <v>64</v>
      </c>
      <c r="D4" s="201"/>
      <c r="E4" s="201"/>
      <c r="F4" s="201"/>
    </row>
    <row r="5" spans="1:19" ht="9.9" customHeight="1" thickBot="1" x14ac:dyDescent="0.5">
      <c r="A5" s="3"/>
      <c r="N5" s="4"/>
      <c r="O5" s="4"/>
      <c r="P5" s="5"/>
      <c r="Q5" s="5"/>
    </row>
    <row r="6" spans="1:19" s="14" customFormat="1" ht="30" customHeight="1" thickBot="1" x14ac:dyDescent="0.5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  <c r="L6" s="8" t="s">
        <v>15</v>
      </c>
      <c r="M6" s="9"/>
      <c r="N6" s="10" t="s">
        <v>16</v>
      </c>
      <c r="O6" s="11" t="s">
        <v>17</v>
      </c>
      <c r="P6" s="11" t="s">
        <v>18</v>
      </c>
      <c r="Q6" s="12" t="s">
        <v>19</v>
      </c>
      <c r="R6" s="13"/>
    </row>
    <row r="7" spans="1:19" s="25" customFormat="1" ht="30" customHeight="1" x14ac:dyDescent="0.45">
      <c r="A7" s="54">
        <v>1</v>
      </c>
      <c r="B7" s="15"/>
      <c r="C7" s="16"/>
      <c r="D7" s="16"/>
      <c r="E7" s="16"/>
      <c r="F7" s="17"/>
      <c r="G7" s="16"/>
      <c r="H7" s="16"/>
      <c r="I7" s="16"/>
      <c r="J7" s="16"/>
      <c r="K7" s="16"/>
      <c r="L7" s="18"/>
      <c r="M7" s="19"/>
      <c r="N7" s="20"/>
      <c r="O7" s="21"/>
      <c r="P7" s="21"/>
      <c r="Q7" s="22"/>
      <c r="R7" s="23">
        <f>Q6:Q7*4</f>
        <v>0</v>
      </c>
      <c r="S7" s="24"/>
    </row>
    <row r="8" spans="1:19" s="25" customFormat="1" ht="30" customHeight="1" x14ac:dyDescent="0.45">
      <c r="A8" s="55">
        <v>2</v>
      </c>
      <c r="B8" s="26"/>
      <c r="C8" s="27"/>
      <c r="D8" s="27"/>
      <c r="E8" s="27"/>
      <c r="F8" s="27"/>
      <c r="G8" s="27"/>
      <c r="H8" s="27"/>
      <c r="I8" s="27"/>
      <c r="J8" s="27"/>
      <c r="K8" s="27"/>
      <c r="L8" s="28"/>
      <c r="M8" s="19"/>
      <c r="N8" s="20"/>
      <c r="O8" s="21"/>
      <c r="P8" s="21"/>
      <c r="Q8" s="22"/>
      <c r="R8" s="23">
        <f t="shared" ref="R8:R36" si="0">Q7:Q8*4</f>
        <v>0</v>
      </c>
      <c r="S8" s="24"/>
    </row>
    <row r="9" spans="1:19" s="25" customFormat="1" ht="30" customHeight="1" x14ac:dyDescent="0.45">
      <c r="A9" s="55">
        <v>3</v>
      </c>
      <c r="B9" s="26"/>
      <c r="C9" s="27"/>
      <c r="D9" s="27"/>
      <c r="E9" s="27"/>
      <c r="F9" s="27"/>
      <c r="G9" s="27"/>
      <c r="H9" s="27"/>
      <c r="I9" s="27"/>
      <c r="J9" s="27"/>
      <c r="K9" s="27"/>
      <c r="L9" s="28"/>
      <c r="M9" s="19"/>
      <c r="N9" s="20"/>
      <c r="O9" s="21"/>
      <c r="P9" s="21"/>
      <c r="Q9" s="22"/>
      <c r="R9" s="23">
        <f t="shared" si="0"/>
        <v>0</v>
      </c>
      <c r="S9" s="24"/>
    </row>
    <row r="10" spans="1:19" s="25" customFormat="1" ht="30" customHeight="1" x14ac:dyDescent="0.45">
      <c r="A10" s="55">
        <v>4</v>
      </c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8"/>
      <c r="M10" s="19"/>
      <c r="N10" s="20"/>
      <c r="O10" s="21"/>
      <c r="P10" s="21"/>
      <c r="Q10" s="22"/>
      <c r="R10" s="23">
        <f t="shared" si="0"/>
        <v>0</v>
      </c>
      <c r="S10" s="24"/>
    </row>
    <row r="11" spans="1:19" s="25" customFormat="1" ht="30" customHeight="1" x14ac:dyDescent="0.45">
      <c r="A11" s="55">
        <v>5</v>
      </c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19"/>
      <c r="N11" s="20"/>
      <c r="O11" s="21"/>
      <c r="P11" s="21"/>
      <c r="Q11" s="22"/>
      <c r="R11" s="23">
        <f t="shared" si="0"/>
        <v>0</v>
      </c>
      <c r="S11" s="24"/>
    </row>
    <row r="12" spans="1:19" s="25" customFormat="1" ht="30" customHeight="1" x14ac:dyDescent="0.45">
      <c r="A12" s="55">
        <v>6</v>
      </c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19"/>
      <c r="N12" s="20"/>
      <c r="O12" s="21"/>
      <c r="P12" s="21"/>
      <c r="Q12" s="22"/>
      <c r="R12" s="23">
        <f t="shared" si="0"/>
        <v>0</v>
      </c>
      <c r="S12" s="24"/>
    </row>
    <row r="13" spans="1:19" s="25" customFormat="1" ht="30" customHeight="1" x14ac:dyDescent="0.45">
      <c r="A13" s="55">
        <v>7</v>
      </c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8"/>
      <c r="M13" s="19"/>
      <c r="N13" s="20"/>
      <c r="O13" s="21"/>
      <c r="P13" s="21"/>
      <c r="Q13" s="22"/>
      <c r="R13" s="23">
        <f t="shared" si="0"/>
        <v>0</v>
      </c>
      <c r="S13" s="24"/>
    </row>
    <row r="14" spans="1:19" s="25" customFormat="1" ht="30" customHeight="1" x14ac:dyDescent="0.45">
      <c r="A14" s="55">
        <v>8</v>
      </c>
      <c r="B14" s="26"/>
      <c r="C14" s="27"/>
      <c r="D14" s="27"/>
      <c r="E14" s="27"/>
      <c r="F14" s="27"/>
      <c r="G14" s="29"/>
      <c r="H14" s="29"/>
      <c r="I14" s="29"/>
      <c r="J14" s="29"/>
      <c r="K14" s="29"/>
      <c r="L14" s="30"/>
      <c r="M14" s="31"/>
      <c r="N14" s="20"/>
      <c r="O14" s="21"/>
      <c r="P14" s="21"/>
      <c r="Q14" s="32"/>
      <c r="R14" s="23">
        <f t="shared" si="0"/>
        <v>0</v>
      </c>
      <c r="S14" s="24"/>
    </row>
    <row r="15" spans="1:19" s="25" customFormat="1" ht="30" customHeight="1" x14ac:dyDescent="0.45">
      <c r="A15" s="55">
        <v>9</v>
      </c>
      <c r="B15" s="26"/>
      <c r="C15" s="27"/>
      <c r="D15" s="27"/>
      <c r="E15" s="27"/>
      <c r="F15" s="27"/>
      <c r="G15" s="29"/>
      <c r="H15" s="29"/>
      <c r="I15" s="29"/>
      <c r="J15" s="29"/>
      <c r="K15" s="29"/>
      <c r="L15" s="30"/>
      <c r="M15" s="31"/>
      <c r="N15" s="20"/>
      <c r="O15" s="21"/>
      <c r="P15" s="21"/>
      <c r="Q15" s="32"/>
      <c r="R15" s="23">
        <f t="shared" si="0"/>
        <v>0</v>
      </c>
      <c r="S15" s="24"/>
    </row>
    <row r="16" spans="1:19" s="25" customFormat="1" ht="30" customHeight="1" x14ac:dyDescent="0.45">
      <c r="A16" s="55">
        <v>10</v>
      </c>
      <c r="B16" s="33"/>
      <c r="C16" s="27"/>
      <c r="D16" s="27"/>
      <c r="E16" s="27"/>
      <c r="F16" s="27"/>
      <c r="G16" s="29"/>
      <c r="H16" s="29"/>
      <c r="I16" s="29"/>
      <c r="J16" s="29"/>
      <c r="K16" s="29"/>
      <c r="L16" s="30"/>
      <c r="M16" s="31"/>
      <c r="N16" s="20"/>
      <c r="O16" s="21"/>
      <c r="P16" s="21"/>
      <c r="Q16" s="32"/>
      <c r="R16" s="23">
        <f t="shared" si="0"/>
        <v>0</v>
      </c>
      <c r="S16" s="24"/>
    </row>
    <row r="17" spans="1:19" s="25" customFormat="1" ht="30" customHeight="1" x14ac:dyDescent="0.45">
      <c r="A17" s="55">
        <v>11</v>
      </c>
      <c r="B17" s="33"/>
      <c r="C17" s="27"/>
      <c r="D17" s="27"/>
      <c r="E17" s="27"/>
      <c r="F17" s="27"/>
      <c r="G17" s="29"/>
      <c r="H17" s="29"/>
      <c r="I17" s="29"/>
      <c r="J17" s="29"/>
      <c r="K17" s="29"/>
      <c r="L17" s="30"/>
      <c r="M17" s="31"/>
      <c r="N17" s="20"/>
      <c r="O17" s="21"/>
      <c r="P17" s="21"/>
      <c r="Q17" s="32"/>
      <c r="R17" s="23">
        <f t="shared" si="0"/>
        <v>0</v>
      </c>
      <c r="S17" s="24"/>
    </row>
    <row r="18" spans="1:19" s="25" customFormat="1" ht="30" customHeight="1" x14ac:dyDescent="0.45">
      <c r="A18" s="55">
        <v>12</v>
      </c>
      <c r="B18" s="33"/>
      <c r="C18" s="27"/>
      <c r="D18" s="27"/>
      <c r="E18" s="27"/>
      <c r="F18" s="27"/>
      <c r="G18" s="29"/>
      <c r="H18" s="29"/>
      <c r="I18" s="29"/>
      <c r="J18" s="29"/>
      <c r="K18" s="29"/>
      <c r="L18" s="30"/>
      <c r="M18" s="31"/>
      <c r="N18" s="20"/>
      <c r="O18" s="21"/>
      <c r="P18" s="21"/>
      <c r="Q18" s="32"/>
      <c r="R18" s="23">
        <f t="shared" si="0"/>
        <v>0</v>
      </c>
      <c r="S18" s="24"/>
    </row>
    <row r="19" spans="1:19" s="25" customFormat="1" ht="30" customHeight="1" x14ac:dyDescent="0.45">
      <c r="A19" s="55">
        <v>13</v>
      </c>
      <c r="B19" s="33"/>
      <c r="C19" s="27"/>
      <c r="D19" s="27"/>
      <c r="E19" s="27"/>
      <c r="F19" s="27"/>
      <c r="G19" s="29"/>
      <c r="H19" s="29"/>
      <c r="I19" s="29"/>
      <c r="J19" s="29"/>
      <c r="K19" s="29"/>
      <c r="L19" s="30"/>
      <c r="M19" s="31"/>
      <c r="N19" s="20"/>
      <c r="O19" s="21"/>
      <c r="P19" s="21"/>
      <c r="Q19" s="32"/>
      <c r="R19" s="23">
        <f t="shared" si="0"/>
        <v>0</v>
      </c>
      <c r="S19" s="24"/>
    </row>
    <row r="20" spans="1:19" s="25" customFormat="1" ht="30" customHeight="1" x14ac:dyDescent="0.45">
      <c r="A20" s="55">
        <v>14</v>
      </c>
      <c r="B20" s="33"/>
      <c r="C20" s="27"/>
      <c r="D20" s="27"/>
      <c r="E20" s="27"/>
      <c r="F20" s="27"/>
      <c r="G20" s="29"/>
      <c r="H20" s="29"/>
      <c r="I20" s="29"/>
      <c r="J20" s="29"/>
      <c r="K20" s="29"/>
      <c r="L20" s="30"/>
      <c r="M20" s="31"/>
      <c r="N20" s="20"/>
      <c r="O20" s="21"/>
      <c r="P20" s="21"/>
      <c r="Q20" s="32"/>
      <c r="R20" s="23">
        <f t="shared" si="0"/>
        <v>0</v>
      </c>
      <c r="S20" s="24"/>
    </row>
    <row r="21" spans="1:19" s="25" customFormat="1" ht="30" customHeight="1" x14ac:dyDescent="0.45">
      <c r="A21" s="55">
        <v>15</v>
      </c>
      <c r="B21" s="33"/>
      <c r="C21" s="27"/>
      <c r="D21" s="27"/>
      <c r="E21" s="27"/>
      <c r="F21" s="27"/>
      <c r="G21" s="29"/>
      <c r="H21" s="29"/>
      <c r="I21" s="29"/>
      <c r="J21" s="29"/>
      <c r="K21" s="29"/>
      <c r="L21" s="30"/>
      <c r="M21" s="31"/>
      <c r="N21" s="20"/>
      <c r="O21" s="21"/>
      <c r="P21" s="21"/>
      <c r="Q21" s="32"/>
      <c r="R21" s="23">
        <f t="shared" si="0"/>
        <v>0</v>
      </c>
      <c r="S21" s="24"/>
    </row>
    <row r="22" spans="1:19" s="25" customFormat="1" ht="30" customHeight="1" x14ac:dyDescent="0.45">
      <c r="A22" s="55">
        <v>16</v>
      </c>
      <c r="B22" s="33"/>
      <c r="C22" s="27"/>
      <c r="D22" s="27"/>
      <c r="E22" s="27"/>
      <c r="F22" s="27"/>
      <c r="G22" s="29"/>
      <c r="H22" s="29"/>
      <c r="I22" s="29"/>
      <c r="J22" s="29"/>
      <c r="K22" s="29"/>
      <c r="L22" s="30"/>
      <c r="M22" s="31"/>
      <c r="N22" s="20"/>
      <c r="O22" s="21"/>
      <c r="P22" s="21"/>
      <c r="Q22" s="32"/>
      <c r="R22" s="23">
        <f t="shared" si="0"/>
        <v>0</v>
      </c>
      <c r="S22" s="24"/>
    </row>
    <row r="23" spans="1:19" s="25" customFormat="1" ht="30" customHeight="1" x14ac:dyDescent="0.45">
      <c r="A23" s="55">
        <v>17</v>
      </c>
      <c r="B23" s="33"/>
      <c r="C23" s="27"/>
      <c r="D23" s="27"/>
      <c r="E23" s="27"/>
      <c r="F23" s="27"/>
      <c r="G23" s="29"/>
      <c r="H23" s="29"/>
      <c r="I23" s="29"/>
      <c r="J23" s="29"/>
      <c r="K23" s="29"/>
      <c r="L23" s="30"/>
      <c r="M23" s="31"/>
      <c r="N23" s="20"/>
      <c r="O23" s="21"/>
      <c r="P23" s="21"/>
      <c r="Q23" s="32"/>
      <c r="R23" s="23">
        <f t="shared" si="0"/>
        <v>0</v>
      </c>
      <c r="S23" s="24"/>
    </row>
    <row r="24" spans="1:19" s="25" customFormat="1" ht="30" customHeight="1" x14ac:dyDescent="0.45">
      <c r="A24" s="55">
        <v>18</v>
      </c>
      <c r="B24" s="33"/>
      <c r="C24" s="27"/>
      <c r="D24" s="27"/>
      <c r="E24" s="27"/>
      <c r="F24" s="27"/>
      <c r="G24" s="29"/>
      <c r="H24" s="29"/>
      <c r="I24" s="29"/>
      <c r="J24" s="29"/>
      <c r="K24" s="29"/>
      <c r="L24" s="30"/>
      <c r="M24" s="31"/>
      <c r="N24" s="20"/>
      <c r="O24" s="21"/>
      <c r="P24" s="21"/>
      <c r="Q24" s="32"/>
      <c r="R24" s="23">
        <f t="shared" si="0"/>
        <v>0</v>
      </c>
      <c r="S24" s="24"/>
    </row>
    <row r="25" spans="1:19" s="25" customFormat="1" ht="30" customHeight="1" x14ac:dyDescent="0.45">
      <c r="A25" s="55">
        <v>19</v>
      </c>
      <c r="B25" s="33"/>
      <c r="C25" s="27"/>
      <c r="D25" s="27"/>
      <c r="E25" s="27"/>
      <c r="F25" s="27"/>
      <c r="G25" s="29"/>
      <c r="H25" s="29"/>
      <c r="I25" s="29"/>
      <c r="J25" s="29"/>
      <c r="K25" s="29"/>
      <c r="L25" s="30"/>
      <c r="M25" s="31"/>
      <c r="N25" s="20"/>
      <c r="O25" s="21"/>
      <c r="P25" s="21"/>
      <c r="Q25" s="32"/>
      <c r="R25" s="23">
        <f t="shared" si="0"/>
        <v>0</v>
      </c>
      <c r="S25" s="24"/>
    </row>
    <row r="26" spans="1:19" s="25" customFormat="1" ht="30" customHeight="1" x14ac:dyDescent="0.45">
      <c r="A26" s="55">
        <v>20</v>
      </c>
      <c r="B26" s="33"/>
      <c r="C26" s="27"/>
      <c r="D26" s="27"/>
      <c r="E26" s="27"/>
      <c r="F26" s="27"/>
      <c r="G26" s="29"/>
      <c r="H26" s="29"/>
      <c r="I26" s="29"/>
      <c r="J26" s="29"/>
      <c r="K26" s="29"/>
      <c r="L26" s="30"/>
      <c r="M26" s="31"/>
      <c r="N26" s="20"/>
      <c r="O26" s="21"/>
      <c r="P26" s="21"/>
      <c r="Q26" s="32"/>
      <c r="R26" s="23">
        <f t="shared" si="0"/>
        <v>0</v>
      </c>
      <c r="S26" s="24"/>
    </row>
    <row r="27" spans="1:19" s="25" customFormat="1" ht="30" customHeight="1" x14ac:dyDescent="0.45">
      <c r="A27" s="55">
        <v>21</v>
      </c>
      <c r="B27" s="33"/>
      <c r="C27" s="27"/>
      <c r="D27" s="27"/>
      <c r="E27" s="27"/>
      <c r="F27" s="27"/>
      <c r="G27" s="29"/>
      <c r="H27" s="29"/>
      <c r="I27" s="29"/>
      <c r="J27" s="29"/>
      <c r="K27" s="29"/>
      <c r="L27" s="30"/>
      <c r="M27" s="31"/>
      <c r="N27" s="20"/>
      <c r="O27" s="21"/>
      <c r="P27" s="21"/>
      <c r="Q27" s="32"/>
      <c r="R27" s="23">
        <f t="shared" si="0"/>
        <v>0</v>
      </c>
      <c r="S27" s="24"/>
    </row>
    <row r="28" spans="1:19" s="25" customFormat="1" ht="30" customHeight="1" x14ac:dyDescent="0.45">
      <c r="A28" s="55">
        <v>22</v>
      </c>
      <c r="B28" s="33"/>
      <c r="C28" s="27"/>
      <c r="D28" s="27"/>
      <c r="E28" s="27"/>
      <c r="F28" s="27"/>
      <c r="G28" s="29"/>
      <c r="H28" s="29"/>
      <c r="I28" s="29"/>
      <c r="J28" s="29"/>
      <c r="K28" s="29"/>
      <c r="L28" s="30"/>
      <c r="M28" s="31"/>
      <c r="N28" s="20"/>
      <c r="O28" s="21"/>
      <c r="P28" s="21"/>
      <c r="Q28" s="32"/>
      <c r="R28" s="23">
        <f t="shared" si="0"/>
        <v>0</v>
      </c>
      <c r="S28" s="24"/>
    </row>
    <row r="29" spans="1:19" s="25" customFormat="1" ht="30" customHeight="1" x14ac:dyDescent="0.45">
      <c r="A29" s="55">
        <v>23</v>
      </c>
      <c r="B29" s="34"/>
      <c r="C29" s="27"/>
      <c r="D29" s="27"/>
      <c r="E29" s="27"/>
      <c r="F29" s="27"/>
      <c r="G29" s="29"/>
      <c r="H29" s="29"/>
      <c r="I29" s="29"/>
      <c r="J29" s="29"/>
      <c r="K29" s="29"/>
      <c r="L29" s="30"/>
      <c r="M29" s="31"/>
      <c r="N29" s="20"/>
      <c r="O29" s="21"/>
      <c r="P29" s="21"/>
      <c r="Q29" s="32"/>
      <c r="R29" s="23">
        <f t="shared" si="0"/>
        <v>0</v>
      </c>
      <c r="S29" s="35"/>
    </row>
    <row r="30" spans="1:19" s="25" customFormat="1" ht="30" customHeight="1" x14ac:dyDescent="0.45">
      <c r="A30" s="55">
        <v>24</v>
      </c>
      <c r="B30" s="26"/>
      <c r="C30" s="27"/>
      <c r="D30" s="27"/>
      <c r="E30" s="27"/>
      <c r="F30" s="27"/>
      <c r="G30" s="29"/>
      <c r="H30" s="29"/>
      <c r="I30" s="29"/>
      <c r="J30" s="29"/>
      <c r="K30" s="29"/>
      <c r="L30" s="30"/>
      <c r="M30" s="31"/>
      <c r="N30" s="20"/>
      <c r="O30" s="21"/>
      <c r="P30" s="21"/>
      <c r="Q30" s="32"/>
      <c r="R30" s="23">
        <f t="shared" si="0"/>
        <v>0</v>
      </c>
      <c r="S30" s="24"/>
    </row>
    <row r="31" spans="1:19" s="25" customFormat="1" ht="30" customHeight="1" x14ac:dyDescent="0.45">
      <c r="A31" s="55">
        <v>25</v>
      </c>
      <c r="B31" s="33"/>
      <c r="C31" s="27"/>
      <c r="D31" s="27"/>
      <c r="E31" s="27"/>
      <c r="F31" s="27"/>
      <c r="G31" s="29"/>
      <c r="H31" s="29"/>
      <c r="I31" s="29"/>
      <c r="J31" s="29"/>
      <c r="K31" s="29"/>
      <c r="L31" s="30"/>
      <c r="M31" s="31"/>
      <c r="N31" s="20"/>
      <c r="O31" s="21"/>
      <c r="P31" s="21"/>
      <c r="Q31" s="32"/>
      <c r="R31" s="23">
        <f t="shared" si="0"/>
        <v>0</v>
      </c>
      <c r="S31" s="24"/>
    </row>
    <row r="32" spans="1:19" s="25" customFormat="1" ht="30" customHeight="1" x14ac:dyDescent="0.45">
      <c r="A32" s="55">
        <v>26</v>
      </c>
      <c r="B32" s="36"/>
      <c r="C32" s="29"/>
      <c r="D32" s="29"/>
      <c r="E32" s="29"/>
      <c r="F32" s="29"/>
      <c r="G32" s="29"/>
      <c r="H32" s="29"/>
      <c r="I32" s="29"/>
      <c r="J32" s="29"/>
      <c r="K32" s="29"/>
      <c r="L32" s="30"/>
      <c r="M32" s="31"/>
      <c r="N32" s="37"/>
      <c r="O32" s="38"/>
      <c r="P32" s="38"/>
      <c r="Q32" s="32"/>
      <c r="R32" s="23">
        <f t="shared" si="0"/>
        <v>0</v>
      </c>
    </row>
    <row r="33" spans="1:18" s="25" customFormat="1" ht="30" customHeight="1" x14ac:dyDescent="0.45">
      <c r="A33" s="55">
        <v>27</v>
      </c>
      <c r="B33" s="40"/>
      <c r="C33" s="29"/>
      <c r="D33" s="29"/>
      <c r="E33" s="29"/>
      <c r="F33" s="29"/>
      <c r="G33" s="29"/>
      <c r="H33" s="29"/>
      <c r="I33" s="29"/>
      <c r="J33" s="29"/>
      <c r="K33" s="29"/>
      <c r="L33" s="30"/>
      <c r="M33" s="31"/>
      <c r="N33" s="37"/>
      <c r="O33" s="38"/>
      <c r="P33" s="38"/>
      <c r="Q33" s="32"/>
      <c r="R33" s="23">
        <f t="shared" si="0"/>
        <v>0</v>
      </c>
    </row>
    <row r="34" spans="1:18" s="25" customFormat="1" ht="30" customHeight="1" x14ac:dyDescent="0.45">
      <c r="A34" s="55">
        <v>28</v>
      </c>
      <c r="B34" s="36"/>
      <c r="C34" s="29"/>
      <c r="D34" s="29"/>
      <c r="E34" s="29"/>
      <c r="F34" s="29"/>
      <c r="G34" s="29"/>
      <c r="H34" s="29"/>
      <c r="I34" s="29"/>
      <c r="J34" s="29"/>
      <c r="K34" s="29"/>
      <c r="L34" s="30"/>
      <c r="M34" s="31"/>
      <c r="N34" s="37"/>
      <c r="O34" s="38"/>
      <c r="P34" s="38"/>
      <c r="Q34" s="32"/>
      <c r="R34" s="23">
        <f t="shared" si="0"/>
        <v>0</v>
      </c>
    </row>
    <row r="35" spans="1:18" s="25" customFormat="1" ht="30" customHeight="1" x14ac:dyDescent="0.45">
      <c r="A35" s="55">
        <v>29</v>
      </c>
      <c r="B35" s="41"/>
      <c r="C35" s="29"/>
      <c r="D35" s="29"/>
      <c r="E35" s="29"/>
      <c r="F35" s="29"/>
      <c r="G35" s="29"/>
      <c r="H35" s="29"/>
      <c r="I35" s="29"/>
      <c r="J35" s="29"/>
      <c r="K35" s="29"/>
      <c r="L35" s="30"/>
      <c r="M35" s="31"/>
      <c r="N35" s="37"/>
      <c r="O35" s="38"/>
      <c r="P35" s="38"/>
      <c r="Q35" s="32"/>
      <c r="R35" s="23">
        <f t="shared" si="0"/>
        <v>0</v>
      </c>
    </row>
    <row r="36" spans="1:18" s="25" customFormat="1" ht="30" customHeight="1" thickBot="1" x14ac:dyDescent="0.5">
      <c r="A36" s="55">
        <v>30</v>
      </c>
      <c r="B36" s="42"/>
      <c r="C36" s="43"/>
      <c r="D36" s="43"/>
      <c r="E36" s="43"/>
      <c r="F36" s="43"/>
      <c r="G36" s="43"/>
      <c r="H36" s="43"/>
      <c r="I36" s="43"/>
      <c r="J36" s="43"/>
      <c r="K36" s="43"/>
      <c r="L36" s="44"/>
      <c r="M36" s="31"/>
      <c r="N36" s="45"/>
      <c r="O36" s="46"/>
      <c r="P36" s="46"/>
      <c r="Q36" s="47"/>
      <c r="R36" s="23">
        <f t="shared" si="0"/>
        <v>0</v>
      </c>
    </row>
    <row r="37" spans="1:18" s="25" customFormat="1" ht="10.5" customHeight="1" thickBot="1" x14ac:dyDescent="0.4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48"/>
      <c r="O37" s="48"/>
      <c r="P37" s="48"/>
      <c r="Q37" s="48"/>
      <c r="R37" s="39"/>
    </row>
    <row r="38" spans="1:18" s="25" customFormat="1" ht="30" customHeight="1" thickBot="1" x14ac:dyDescent="0.5">
      <c r="A38" s="198" t="s">
        <v>20</v>
      </c>
      <c r="B38" s="199"/>
      <c r="C38" s="49"/>
      <c r="D38" s="49"/>
      <c r="E38" s="49"/>
      <c r="F38" s="49"/>
      <c r="G38" s="50"/>
      <c r="H38" s="50"/>
      <c r="I38" s="50"/>
      <c r="J38" s="50"/>
      <c r="K38" s="50"/>
      <c r="L38" s="50"/>
      <c r="M38" s="51"/>
      <c r="N38" s="52"/>
      <c r="O38" s="52"/>
      <c r="P38" s="52"/>
      <c r="Q38" s="52"/>
    </row>
    <row r="39" spans="1:18" s="25" customFormat="1" ht="18.600000000000001" x14ac:dyDescent="0.45">
      <c r="A39" s="53"/>
    </row>
  </sheetData>
  <mergeCells count="8">
    <mergeCell ref="A38:B38"/>
    <mergeCell ref="N1:Q1"/>
    <mergeCell ref="N3:Q3"/>
    <mergeCell ref="G1:L1"/>
    <mergeCell ref="G3:L3"/>
    <mergeCell ref="C4:F4"/>
    <mergeCell ref="B1:F1"/>
    <mergeCell ref="B2:F2"/>
  </mergeCells>
  <printOptions horizontalCentered="1" verticalCentered="1"/>
  <pageMargins left="0.19685039370078741" right="0.19685039370078741" top="0.35433070866141736" bottom="0" header="0" footer="0.51181102362204722"/>
  <pageSetup paperSize="9" scale="50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365"/>
  <sheetViews>
    <sheetView tabSelected="1" view="pageBreakPreview" zoomScale="55" zoomScaleNormal="40" zoomScaleSheetLayoutView="55" workbookViewId="0">
      <selection activeCell="Y12" sqref="Y12"/>
    </sheetView>
  </sheetViews>
  <sheetFormatPr defaultRowHeight="13.2" x14ac:dyDescent="0.25"/>
  <cols>
    <col min="1" max="1" width="13" customWidth="1"/>
    <col min="2" max="2" width="20.88671875" customWidth="1"/>
    <col min="3" max="3" width="13.33203125" customWidth="1"/>
    <col min="4" max="5" width="16.109375" customWidth="1"/>
    <col min="6" max="6" width="16.6640625" customWidth="1"/>
    <col min="7" max="12" width="17.6640625" customWidth="1"/>
    <col min="13" max="13" width="18.109375" customWidth="1"/>
    <col min="23" max="23" width="1.5546875" customWidth="1"/>
  </cols>
  <sheetData>
    <row r="1" spans="1:23" ht="46.5" customHeight="1" x14ac:dyDescent="0.65">
      <c r="A1" s="186"/>
      <c r="B1" s="189"/>
      <c r="C1" s="222" t="s">
        <v>61</v>
      </c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04" t="s">
        <v>78</v>
      </c>
      <c r="O1" s="204"/>
      <c r="P1" s="204"/>
      <c r="Q1" s="204" t="s">
        <v>79</v>
      </c>
      <c r="R1" s="204"/>
      <c r="S1" s="204"/>
      <c r="T1" s="204" t="s">
        <v>80</v>
      </c>
      <c r="U1" s="204"/>
      <c r="V1" s="204"/>
      <c r="W1" s="204"/>
    </row>
    <row r="2" spans="1:23" ht="46.5" customHeight="1" x14ac:dyDescent="0.25">
      <c r="A2" s="191"/>
      <c r="B2" s="190"/>
      <c r="C2" s="240" t="s">
        <v>62</v>
      </c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13"/>
      <c r="O2" s="214"/>
      <c r="P2" s="215"/>
      <c r="Q2" s="213"/>
      <c r="R2" s="214"/>
      <c r="S2" s="215"/>
      <c r="T2" s="205"/>
      <c r="U2" s="205"/>
      <c r="V2" s="205"/>
      <c r="W2" s="205"/>
    </row>
    <row r="3" spans="1:23" ht="34.5" customHeight="1" x14ac:dyDescent="0.25">
      <c r="A3" s="231" t="s">
        <v>73</v>
      </c>
      <c r="B3" s="232"/>
      <c r="C3" s="241"/>
      <c r="D3" s="241"/>
      <c r="E3" s="241"/>
      <c r="F3" s="241"/>
      <c r="G3" s="235" t="s">
        <v>93</v>
      </c>
      <c r="H3" s="236"/>
      <c r="I3" s="236"/>
      <c r="J3" s="236"/>
      <c r="K3" s="236"/>
      <c r="L3" s="236"/>
      <c r="M3" s="237"/>
      <c r="N3" s="216"/>
      <c r="O3" s="217"/>
      <c r="P3" s="218"/>
      <c r="Q3" s="216"/>
      <c r="R3" s="217"/>
      <c r="S3" s="218"/>
      <c r="T3" s="205"/>
      <c r="U3" s="205"/>
      <c r="V3" s="205"/>
      <c r="W3" s="205"/>
    </row>
    <row r="4" spans="1:23" ht="34.5" customHeight="1" x14ac:dyDescent="1.05">
      <c r="A4" s="233" t="s">
        <v>76</v>
      </c>
      <c r="B4" s="234"/>
      <c r="C4" s="241"/>
      <c r="D4" s="241"/>
      <c r="E4" s="241"/>
      <c r="F4" s="241"/>
      <c r="G4" s="238" t="s">
        <v>94</v>
      </c>
      <c r="H4" s="239"/>
      <c r="I4" s="239"/>
      <c r="J4" s="239"/>
      <c r="K4" s="239"/>
      <c r="L4" s="239"/>
      <c r="M4" s="239"/>
      <c r="N4" s="219"/>
      <c r="O4" s="220"/>
      <c r="P4" s="221"/>
      <c r="Q4" s="219"/>
      <c r="R4" s="220"/>
      <c r="S4" s="221"/>
      <c r="T4" s="205"/>
      <c r="U4" s="205"/>
      <c r="V4" s="205"/>
      <c r="W4" s="205"/>
    </row>
    <row r="5" spans="1:23" ht="36.6" x14ac:dyDescent="0.95">
      <c r="A5" s="233" t="s">
        <v>92</v>
      </c>
      <c r="B5" s="234"/>
      <c r="C5" s="241"/>
      <c r="D5" s="241"/>
      <c r="E5" s="241"/>
      <c r="F5" s="241"/>
      <c r="G5" s="184"/>
      <c r="H5" s="242" t="s">
        <v>82</v>
      </c>
      <c r="I5" s="243"/>
      <c r="J5" s="185"/>
      <c r="K5" s="242" t="s">
        <v>83</v>
      </c>
      <c r="L5" s="243"/>
      <c r="M5" s="169"/>
      <c r="N5" s="181"/>
      <c r="O5" s="169"/>
      <c r="P5" s="178" t="s">
        <v>105</v>
      </c>
      <c r="Q5" s="169"/>
      <c r="R5" s="169"/>
      <c r="S5" s="169"/>
      <c r="T5" s="169"/>
      <c r="U5" s="169"/>
      <c r="V5" s="169"/>
      <c r="W5" s="189"/>
    </row>
    <row r="6" spans="1:23" ht="26.25" customHeight="1" x14ac:dyDescent="0.25">
      <c r="A6" s="226" t="s">
        <v>43</v>
      </c>
      <c r="B6" s="226" t="s">
        <v>95</v>
      </c>
      <c r="C6" s="226"/>
      <c r="D6" s="226"/>
      <c r="E6" s="226"/>
      <c r="F6" s="227" t="s">
        <v>96</v>
      </c>
      <c r="G6" s="212" t="s">
        <v>97</v>
      </c>
      <c r="H6" s="212"/>
      <c r="I6" s="212"/>
      <c r="J6" s="212" t="s">
        <v>98</v>
      </c>
      <c r="K6" s="212"/>
      <c r="L6" s="212"/>
      <c r="M6" s="229" t="s">
        <v>106</v>
      </c>
      <c r="N6" s="182"/>
      <c r="O6" s="179"/>
      <c r="P6" s="187" t="s">
        <v>100</v>
      </c>
      <c r="Q6" s="179"/>
      <c r="R6" s="179"/>
      <c r="S6" s="179"/>
      <c r="T6" s="179"/>
      <c r="U6" s="179"/>
      <c r="V6" s="179"/>
      <c r="W6" s="188"/>
    </row>
    <row r="7" spans="1:23" ht="59.25" customHeight="1" x14ac:dyDescent="0.25">
      <c r="A7" s="226"/>
      <c r="B7" s="226"/>
      <c r="C7" s="226"/>
      <c r="D7" s="226"/>
      <c r="E7" s="226"/>
      <c r="F7" s="228"/>
      <c r="G7" s="194" t="s">
        <v>99</v>
      </c>
      <c r="H7" s="194" t="s">
        <v>100</v>
      </c>
      <c r="I7" s="194" t="s">
        <v>101</v>
      </c>
      <c r="J7" s="195" t="s">
        <v>102</v>
      </c>
      <c r="K7" s="195" t="s">
        <v>103</v>
      </c>
      <c r="L7" s="194" t="s">
        <v>104</v>
      </c>
      <c r="M7" s="230"/>
      <c r="N7" s="183"/>
      <c r="O7" s="172"/>
      <c r="P7" s="172"/>
      <c r="Q7" s="172"/>
      <c r="R7" s="172"/>
      <c r="S7" s="172"/>
      <c r="T7" s="172"/>
      <c r="U7" s="172"/>
      <c r="V7" s="172"/>
      <c r="W7" s="190"/>
    </row>
    <row r="8" spans="1:23" ht="44.25" customHeight="1" x14ac:dyDescent="0.25">
      <c r="A8" s="180"/>
      <c r="B8" s="223"/>
      <c r="C8" s="224"/>
      <c r="D8" s="224"/>
      <c r="E8" s="225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</row>
    <row r="9" spans="1:23" ht="44.25" customHeight="1" x14ac:dyDescent="0.25">
      <c r="A9" s="180"/>
      <c r="B9" s="223"/>
      <c r="C9" s="224"/>
      <c r="D9" s="224"/>
      <c r="E9" s="225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</row>
    <row r="10" spans="1:23" ht="44.25" customHeight="1" x14ac:dyDescent="0.25">
      <c r="A10" s="180"/>
      <c r="B10" s="223"/>
      <c r="C10" s="224"/>
      <c r="D10" s="224"/>
      <c r="E10" s="225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</row>
    <row r="11" spans="1:23" ht="44.25" customHeight="1" x14ac:dyDescent="0.25">
      <c r="A11" s="180"/>
      <c r="B11" s="223"/>
      <c r="C11" s="224"/>
      <c r="D11" s="224"/>
      <c r="E11" s="225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</row>
    <row r="12" spans="1:23" ht="44.25" customHeight="1" x14ac:dyDescent="0.25">
      <c r="A12" s="180"/>
      <c r="B12" s="223"/>
      <c r="C12" s="224"/>
      <c r="D12" s="224"/>
      <c r="E12" s="225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</row>
    <row r="13" spans="1:23" ht="44.25" customHeight="1" x14ac:dyDescent="0.25">
      <c r="A13" s="180"/>
      <c r="B13" s="223"/>
      <c r="C13" s="224"/>
      <c r="D13" s="224"/>
      <c r="E13" s="225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</row>
    <row r="14" spans="1:23" ht="44.25" customHeight="1" x14ac:dyDescent="0.25">
      <c r="A14" s="180"/>
      <c r="B14" s="223"/>
      <c r="C14" s="224"/>
      <c r="D14" s="224"/>
      <c r="E14" s="225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</row>
    <row r="15" spans="1:23" ht="44.25" customHeight="1" x14ac:dyDescent="0.25">
      <c r="A15" s="180"/>
      <c r="B15" s="223"/>
      <c r="C15" s="224"/>
      <c r="D15" s="224"/>
      <c r="E15" s="225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</row>
    <row r="16" spans="1:23" ht="44.25" customHeight="1" x14ac:dyDescent="0.25">
      <c r="A16" s="180"/>
      <c r="B16" s="223"/>
      <c r="C16" s="224"/>
      <c r="D16" s="224"/>
      <c r="E16" s="225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</row>
    <row r="17" spans="1:23" ht="44.25" customHeight="1" x14ac:dyDescent="0.25">
      <c r="A17" s="180"/>
      <c r="B17" s="223"/>
      <c r="C17" s="224"/>
      <c r="D17" s="224"/>
      <c r="E17" s="225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</row>
    <row r="18" spans="1:23" ht="44.25" customHeight="1" x14ac:dyDescent="0.25">
      <c r="A18" s="180"/>
      <c r="B18" s="223"/>
      <c r="C18" s="224"/>
      <c r="D18" s="224"/>
      <c r="E18" s="225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</row>
    <row r="19" spans="1:23" ht="44.25" customHeight="1" x14ac:dyDescent="0.25">
      <c r="A19" s="180"/>
      <c r="B19" s="223"/>
      <c r="C19" s="224"/>
      <c r="D19" s="224"/>
      <c r="E19" s="225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</row>
    <row r="20" spans="1:23" ht="44.25" customHeight="1" x14ac:dyDescent="0.25">
      <c r="A20" s="180"/>
      <c r="B20" s="223"/>
      <c r="C20" s="224"/>
      <c r="D20" s="224"/>
      <c r="E20" s="225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</row>
    <row r="21" spans="1:23" ht="44.25" customHeight="1" x14ac:dyDescent="0.25">
      <c r="A21" s="180"/>
      <c r="B21" s="223"/>
      <c r="C21" s="224"/>
      <c r="D21" s="224"/>
      <c r="E21" s="225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</row>
    <row r="22" spans="1:23" ht="44.25" customHeight="1" x14ac:dyDescent="0.25">
      <c r="A22" s="180"/>
      <c r="B22" s="223"/>
      <c r="C22" s="224"/>
      <c r="D22" s="224"/>
      <c r="E22" s="225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</row>
    <row r="23" spans="1:23" ht="44.25" customHeight="1" x14ac:dyDescent="0.25">
      <c r="A23" s="180"/>
      <c r="B23" s="223"/>
      <c r="C23" s="224"/>
      <c r="D23" s="224"/>
      <c r="E23" s="225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</row>
    <row r="24" spans="1:23" ht="44.25" customHeight="1" x14ac:dyDescent="0.25">
      <c r="A24" s="180"/>
      <c r="B24" s="223"/>
      <c r="C24" s="224"/>
      <c r="D24" s="224"/>
      <c r="E24" s="225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</row>
    <row r="25" spans="1:23" ht="44.25" customHeight="1" x14ac:dyDescent="0.25">
      <c r="A25" s="180"/>
      <c r="B25" s="223"/>
      <c r="C25" s="224"/>
      <c r="D25" s="224"/>
      <c r="E25" s="225"/>
      <c r="F25" s="180"/>
      <c r="G25" s="180"/>
      <c r="H25" s="180"/>
      <c r="I25" s="180"/>
      <c r="J25" s="180"/>
      <c r="K25" s="180"/>
      <c r="L25" s="180"/>
      <c r="M25" s="180"/>
      <c r="N25" s="192"/>
      <c r="O25" s="192"/>
      <c r="P25" s="192"/>
      <c r="Q25" s="192"/>
      <c r="R25" s="192"/>
      <c r="S25" s="192"/>
      <c r="T25" s="192"/>
      <c r="U25" s="192"/>
      <c r="V25" s="192"/>
      <c r="W25" s="192"/>
    </row>
    <row r="26" spans="1:23" ht="44.25" customHeight="1" x14ac:dyDescent="0.25">
      <c r="G26" s="206" t="s">
        <v>107</v>
      </c>
      <c r="H26" s="207"/>
      <c r="I26" s="207"/>
      <c r="J26" s="207"/>
      <c r="K26" s="207"/>
      <c r="L26" s="208"/>
      <c r="M26" s="205"/>
      <c r="N26" s="193"/>
      <c r="O26" s="193"/>
      <c r="P26" s="193"/>
      <c r="Q26" s="193"/>
      <c r="R26" s="193"/>
      <c r="S26" s="193"/>
      <c r="T26" s="193"/>
      <c r="U26" s="193"/>
      <c r="V26" s="193"/>
      <c r="W26" s="193"/>
    </row>
    <row r="27" spans="1:23" ht="44.25" customHeight="1" x14ac:dyDescent="0.25">
      <c r="G27" s="209"/>
      <c r="H27" s="210"/>
      <c r="I27" s="210"/>
      <c r="J27" s="210"/>
      <c r="K27" s="210"/>
      <c r="L27" s="211"/>
      <c r="M27" s="205"/>
    </row>
    <row r="28" spans="1:23" ht="33" customHeight="1" x14ac:dyDescent="0.25"/>
    <row r="29" spans="1:23" ht="33" customHeight="1" x14ac:dyDescent="0.25"/>
    <row r="30" spans="1:23" ht="33" customHeight="1" x14ac:dyDescent="0.25"/>
    <row r="31" spans="1:23" ht="33" customHeight="1" x14ac:dyDescent="0.25"/>
    <row r="32" spans="1:23" ht="33" customHeight="1" x14ac:dyDescent="0.25"/>
    <row r="33" ht="33" customHeight="1" x14ac:dyDescent="0.25"/>
    <row r="34" ht="33" customHeight="1" x14ac:dyDescent="0.25"/>
    <row r="35" ht="33" customHeight="1" x14ac:dyDescent="0.25"/>
    <row r="36" ht="33" customHeight="1" x14ac:dyDescent="0.25"/>
    <row r="37" ht="33" customHeight="1" x14ac:dyDescent="0.25"/>
    <row r="38" ht="33" customHeight="1" x14ac:dyDescent="0.25"/>
    <row r="39" ht="33" customHeight="1" x14ac:dyDescent="0.25"/>
    <row r="40" ht="33" customHeight="1" x14ac:dyDescent="0.25"/>
    <row r="41" ht="33" customHeight="1" x14ac:dyDescent="0.25"/>
    <row r="42" ht="33" customHeight="1" x14ac:dyDescent="0.25"/>
    <row r="43" ht="33" customHeight="1" x14ac:dyDescent="0.25"/>
    <row r="44" ht="33" customHeight="1" x14ac:dyDescent="0.25"/>
    <row r="45" ht="33" customHeight="1" x14ac:dyDescent="0.25"/>
    <row r="46" ht="33" customHeight="1" x14ac:dyDescent="0.25"/>
    <row r="47" ht="33" customHeight="1" x14ac:dyDescent="0.25"/>
    <row r="48" ht="33" customHeight="1" x14ac:dyDescent="0.25"/>
    <row r="49" ht="33" customHeight="1" x14ac:dyDescent="0.25"/>
    <row r="50" ht="33" customHeight="1" x14ac:dyDescent="0.25"/>
    <row r="51" ht="33" customHeight="1" x14ac:dyDescent="0.25"/>
    <row r="52" ht="33" customHeight="1" x14ac:dyDescent="0.25"/>
    <row r="53" ht="33" customHeight="1" x14ac:dyDescent="0.25"/>
    <row r="54" ht="33" customHeight="1" x14ac:dyDescent="0.25"/>
    <row r="55" ht="33" customHeight="1" x14ac:dyDescent="0.25"/>
    <row r="56" ht="33" customHeight="1" x14ac:dyDescent="0.25"/>
    <row r="57" ht="33" customHeight="1" x14ac:dyDescent="0.25"/>
    <row r="58" ht="33" customHeight="1" x14ac:dyDescent="0.25"/>
    <row r="59" ht="33" customHeight="1" x14ac:dyDescent="0.25"/>
    <row r="60" ht="33" customHeight="1" x14ac:dyDescent="0.25"/>
    <row r="61" ht="33" customHeight="1" x14ac:dyDescent="0.25"/>
    <row r="62" ht="33" customHeight="1" x14ac:dyDescent="0.25"/>
    <row r="63" ht="33" customHeight="1" x14ac:dyDescent="0.25"/>
    <row r="64" ht="33" customHeight="1" x14ac:dyDescent="0.25"/>
    <row r="65" ht="33" customHeight="1" x14ac:dyDescent="0.25"/>
    <row r="66" ht="33" customHeight="1" x14ac:dyDescent="0.25"/>
    <row r="67" ht="33" customHeight="1" x14ac:dyDescent="0.25"/>
    <row r="68" ht="33" customHeight="1" x14ac:dyDescent="0.25"/>
    <row r="69" ht="33" customHeight="1" x14ac:dyDescent="0.25"/>
    <row r="70" ht="33" customHeight="1" x14ac:dyDescent="0.25"/>
    <row r="71" ht="33" customHeight="1" x14ac:dyDescent="0.25"/>
    <row r="72" ht="33" customHeight="1" x14ac:dyDescent="0.25"/>
    <row r="73" ht="33" customHeight="1" x14ac:dyDescent="0.25"/>
    <row r="74" ht="33" customHeight="1" x14ac:dyDescent="0.25"/>
    <row r="75" ht="33" customHeight="1" x14ac:dyDescent="0.25"/>
    <row r="76" ht="33" customHeight="1" x14ac:dyDescent="0.25"/>
    <row r="77" ht="33" customHeight="1" x14ac:dyDescent="0.25"/>
    <row r="78" ht="33" customHeight="1" x14ac:dyDescent="0.25"/>
    <row r="79" ht="33" customHeight="1" x14ac:dyDescent="0.25"/>
    <row r="80" ht="33" customHeight="1" x14ac:dyDescent="0.25"/>
    <row r="81" ht="33" customHeight="1" x14ac:dyDescent="0.25"/>
    <row r="82" ht="33" customHeight="1" x14ac:dyDescent="0.25"/>
    <row r="83" ht="33" customHeight="1" x14ac:dyDescent="0.25"/>
    <row r="84" ht="33" customHeight="1" x14ac:dyDescent="0.25"/>
    <row r="85" ht="33" customHeight="1" x14ac:dyDescent="0.25"/>
    <row r="86" ht="33" customHeight="1" x14ac:dyDescent="0.25"/>
    <row r="87" ht="33" customHeight="1" x14ac:dyDescent="0.25"/>
    <row r="88" ht="33" customHeight="1" x14ac:dyDescent="0.25"/>
    <row r="89" ht="33" customHeight="1" x14ac:dyDescent="0.25"/>
    <row r="90" ht="33" customHeight="1" x14ac:dyDescent="0.25"/>
    <row r="91" ht="33" customHeight="1" x14ac:dyDescent="0.25"/>
    <row r="92" ht="33" customHeight="1" x14ac:dyDescent="0.25"/>
    <row r="93" ht="33" customHeight="1" x14ac:dyDescent="0.25"/>
    <row r="94" ht="33" customHeight="1" x14ac:dyDescent="0.25"/>
    <row r="95" ht="33" customHeight="1" x14ac:dyDescent="0.25"/>
    <row r="96" ht="33" customHeight="1" x14ac:dyDescent="0.25"/>
    <row r="97" ht="33" customHeight="1" x14ac:dyDescent="0.25"/>
    <row r="98" ht="33" customHeight="1" x14ac:dyDescent="0.25"/>
    <row r="99" ht="33" customHeight="1" x14ac:dyDescent="0.25"/>
    <row r="100" ht="33" customHeight="1" x14ac:dyDescent="0.25"/>
    <row r="101" ht="33" customHeight="1" x14ac:dyDescent="0.25"/>
    <row r="102" ht="33" customHeight="1" x14ac:dyDescent="0.25"/>
    <row r="103" ht="33" customHeight="1" x14ac:dyDescent="0.25"/>
    <row r="104" ht="33" customHeight="1" x14ac:dyDescent="0.25"/>
    <row r="105" ht="33" customHeight="1" x14ac:dyDescent="0.25"/>
    <row r="106" ht="33" customHeight="1" x14ac:dyDescent="0.25"/>
    <row r="107" ht="33" customHeight="1" x14ac:dyDescent="0.25"/>
    <row r="108" ht="33" customHeight="1" x14ac:dyDescent="0.25"/>
    <row r="109" ht="33" customHeight="1" x14ac:dyDescent="0.25"/>
    <row r="110" ht="33" customHeight="1" x14ac:dyDescent="0.25"/>
    <row r="111" ht="33" customHeight="1" x14ac:dyDescent="0.25"/>
    <row r="112" ht="33" customHeight="1" x14ac:dyDescent="0.25"/>
    <row r="113" ht="33" customHeight="1" x14ac:dyDescent="0.25"/>
    <row r="114" ht="33" customHeight="1" x14ac:dyDescent="0.25"/>
    <row r="115" ht="33" customHeight="1" x14ac:dyDescent="0.25"/>
    <row r="116" ht="33" customHeight="1" x14ac:dyDescent="0.25"/>
    <row r="117" ht="33" customHeight="1" x14ac:dyDescent="0.25"/>
    <row r="118" ht="33" customHeight="1" x14ac:dyDescent="0.25"/>
    <row r="119" ht="33" customHeight="1" x14ac:dyDescent="0.25"/>
    <row r="120" ht="33" customHeight="1" x14ac:dyDescent="0.25"/>
    <row r="121" ht="33" customHeight="1" x14ac:dyDescent="0.25"/>
    <row r="122" ht="33" customHeight="1" x14ac:dyDescent="0.25"/>
    <row r="123" ht="33" customHeight="1" x14ac:dyDescent="0.25"/>
    <row r="124" ht="33" customHeight="1" x14ac:dyDescent="0.25"/>
    <row r="125" ht="33" customHeight="1" x14ac:dyDescent="0.25"/>
    <row r="126" ht="33" customHeight="1" x14ac:dyDescent="0.25"/>
    <row r="127" ht="33" customHeight="1" x14ac:dyDescent="0.25"/>
    <row r="128" ht="33" customHeight="1" x14ac:dyDescent="0.25"/>
    <row r="129" ht="33" customHeight="1" x14ac:dyDescent="0.25"/>
    <row r="130" ht="33" customHeight="1" x14ac:dyDescent="0.25"/>
    <row r="131" ht="33" customHeight="1" x14ac:dyDescent="0.25"/>
    <row r="132" ht="33" customHeight="1" x14ac:dyDescent="0.25"/>
    <row r="133" ht="33" customHeight="1" x14ac:dyDescent="0.25"/>
    <row r="134" ht="33" customHeight="1" x14ac:dyDescent="0.25"/>
    <row r="135" ht="33" customHeight="1" x14ac:dyDescent="0.25"/>
    <row r="136" ht="33" customHeight="1" x14ac:dyDescent="0.25"/>
    <row r="137" ht="33" customHeight="1" x14ac:dyDescent="0.25"/>
    <row r="138" ht="33" customHeight="1" x14ac:dyDescent="0.25"/>
    <row r="139" ht="33" customHeight="1" x14ac:dyDescent="0.25"/>
    <row r="140" ht="33" customHeight="1" x14ac:dyDescent="0.25"/>
    <row r="141" ht="33" customHeight="1" x14ac:dyDescent="0.25"/>
    <row r="142" ht="33" customHeight="1" x14ac:dyDescent="0.25"/>
    <row r="143" ht="33" customHeight="1" x14ac:dyDescent="0.25"/>
    <row r="144" ht="33" customHeight="1" x14ac:dyDescent="0.25"/>
    <row r="145" ht="33" customHeight="1" x14ac:dyDescent="0.25"/>
    <row r="146" ht="33" customHeight="1" x14ac:dyDescent="0.25"/>
    <row r="147" ht="33" customHeight="1" x14ac:dyDescent="0.25"/>
    <row r="148" ht="33" customHeight="1" x14ac:dyDescent="0.25"/>
    <row r="149" ht="33" customHeight="1" x14ac:dyDescent="0.25"/>
    <row r="150" ht="33" customHeight="1" x14ac:dyDescent="0.25"/>
    <row r="151" ht="33" customHeight="1" x14ac:dyDescent="0.25"/>
    <row r="152" ht="33" customHeight="1" x14ac:dyDescent="0.25"/>
    <row r="153" ht="33" customHeight="1" x14ac:dyDescent="0.25"/>
    <row r="154" ht="33" customHeight="1" x14ac:dyDescent="0.25"/>
    <row r="155" ht="33" customHeight="1" x14ac:dyDescent="0.25"/>
    <row r="156" ht="33" customHeight="1" x14ac:dyDescent="0.25"/>
    <row r="157" ht="33" customHeight="1" x14ac:dyDescent="0.25"/>
    <row r="158" ht="33" customHeight="1" x14ac:dyDescent="0.25"/>
    <row r="159" ht="33" customHeight="1" x14ac:dyDescent="0.25"/>
    <row r="160" ht="33" customHeight="1" x14ac:dyDescent="0.25"/>
    <row r="161" ht="33" customHeight="1" x14ac:dyDescent="0.25"/>
    <row r="162" ht="33" customHeight="1" x14ac:dyDescent="0.25"/>
    <row r="163" ht="33" customHeight="1" x14ac:dyDescent="0.25"/>
    <row r="164" ht="33" customHeight="1" x14ac:dyDescent="0.25"/>
    <row r="165" ht="33" customHeight="1" x14ac:dyDescent="0.25"/>
    <row r="166" ht="33" customHeight="1" x14ac:dyDescent="0.25"/>
    <row r="167" ht="33" customHeight="1" x14ac:dyDescent="0.25"/>
    <row r="168" ht="33" customHeight="1" x14ac:dyDescent="0.25"/>
    <row r="169" ht="33" customHeight="1" x14ac:dyDescent="0.25"/>
    <row r="170" ht="33" customHeight="1" x14ac:dyDescent="0.25"/>
    <row r="171" ht="33" customHeight="1" x14ac:dyDescent="0.25"/>
    <row r="172" ht="33" customHeight="1" x14ac:dyDescent="0.25"/>
    <row r="173" ht="33" customHeight="1" x14ac:dyDescent="0.25"/>
    <row r="174" ht="33" customHeight="1" x14ac:dyDescent="0.25"/>
    <row r="175" ht="33" customHeight="1" x14ac:dyDescent="0.25"/>
    <row r="176" ht="33" customHeight="1" x14ac:dyDescent="0.25"/>
    <row r="177" ht="33" customHeight="1" x14ac:dyDescent="0.25"/>
    <row r="178" ht="33" customHeight="1" x14ac:dyDescent="0.25"/>
    <row r="179" ht="33" customHeight="1" x14ac:dyDescent="0.25"/>
    <row r="180" ht="33" customHeight="1" x14ac:dyDescent="0.25"/>
    <row r="181" ht="33" customHeight="1" x14ac:dyDescent="0.25"/>
    <row r="182" ht="33" customHeight="1" x14ac:dyDescent="0.25"/>
    <row r="183" ht="33" customHeight="1" x14ac:dyDescent="0.25"/>
    <row r="184" ht="33" customHeight="1" x14ac:dyDescent="0.25"/>
    <row r="185" ht="33" customHeight="1" x14ac:dyDescent="0.25"/>
    <row r="186" ht="33" customHeight="1" x14ac:dyDescent="0.25"/>
    <row r="187" ht="33" customHeight="1" x14ac:dyDescent="0.25"/>
    <row r="188" ht="33" customHeight="1" x14ac:dyDescent="0.25"/>
    <row r="189" ht="33" customHeight="1" x14ac:dyDescent="0.25"/>
    <row r="190" ht="33" customHeight="1" x14ac:dyDescent="0.25"/>
    <row r="191" ht="33" customHeight="1" x14ac:dyDescent="0.25"/>
    <row r="192" ht="33" customHeight="1" x14ac:dyDescent="0.25"/>
    <row r="193" ht="33" customHeight="1" x14ac:dyDescent="0.25"/>
    <row r="194" ht="33" customHeight="1" x14ac:dyDescent="0.25"/>
    <row r="195" ht="33" customHeight="1" x14ac:dyDescent="0.25"/>
    <row r="196" ht="33" customHeight="1" x14ac:dyDescent="0.25"/>
    <row r="197" ht="33" customHeight="1" x14ac:dyDescent="0.25"/>
    <row r="198" ht="33" customHeight="1" x14ac:dyDescent="0.25"/>
    <row r="199" ht="33" customHeight="1" x14ac:dyDescent="0.25"/>
    <row r="200" ht="33" customHeight="1" x14ac:dyDescent="0.25"/>
    <row r="201" ht="33" customHeight="1" x14ac:dyDescent="0.25"/>
    <row r="202" ht="33" customHeight="1" x14ac:dyDescent="0.25"/>
    <row r="203" ht="33" customHeight="1" x14ac:dyDescent="0.25"/>
    <row r="204" ht="33" customHeight="1" x14ac:dyDescent="0.25"/>
    <row r="205" ht="33" customHeight="1" x14ac:dyDescent="0.25"/>
    <row r="206" ht="33" customHeight="1" x14ac:dyDescent="0.25"/>
    <row r="207" ht="33" customHeight="1" x14ac:dyDescent="0.25"/>
    <row r="208" ht="33" customHeight="1" x14ac:dyDescent="0.25"/>
    <row r="209" ht="33" customHeight="1" x14ac:dyDescent="0.25"/>
    <row r="210" ht="33" customHeight="1" x14ac:dyDescent="0.25"/>
    <row r="211" ht="33" customHeight="1" x14ac:dyDescent="0.25"/>
    <row r="212" ht="33" customHeight="1" x14ac:dyDescent="0.25"/>
    <row r="213" ht="33" customHeight="1" x14ac:dyDescent="0.25"/>
    <row r="214" ht="33" customHeight="1" x14ac:dyDescent="0.25"/>
    <row r="215" ht="33" customHeight="1" x14ac:dyDescent="0.25"/>
    <row r="216" ht="33" customHeight="1" x14ac:dyDescent="0.25"/>
    <row r="217" ht="33" customHeight="1" x14ac:dyDescent="0.25"/>
    <row r="218" ht="33" customHeight="1" x14ac:dyDescent="0.25"/>
    <row r="219" ht="33" customHeight="1" x14ac:dyDescent="0.25"/>
    <row r="220" ht="33" customHeight="1" x14ac:dyDescent="0.25"/>
    <row r="221" ht="33" customHeight="1" x14ac:dyDescent="0.25"/>
    <row r="222" ht="33" customHeight="1" x14ac:dyDescent="0.25"/>
    <row r="223" ht="33" customHeight="1" x14ac:dyDescent="0.25"/>
    <row r="224" ht="33" customHeight="1" x14ac:dyDescent="0.25"/>
    <row r="225" ht="33" customHeight="1" x14ac:dyDescent="0.25"/>
    <row r="226" ht="33" customHeight="1" x14ac:dyDescent="0.25"/>
    <row r="227" ht="33" customHeight="1" x14ac:dyDescent="0.25"/>
    <row r="228" ht="33" customHeight="1" x14ac:dyDescent="0.25"/>
    <row r="229" ht="33" customHeight="1" x14ac:dyDescent="0.25"/>
    <row r="230" ht="33" customHeight="1" x14ac:dyDescent="0.25"/>
    <row r="231" ht="33" customHeight="1" x14ac:dyDescent="0.25"/>
    <row r="232" ht="33" customHeight="1" x14ac:dyDescent="0.25"/>
    <row r="233" ht="33" customHeight="1" x14ac:dyDescent="0.25"/>
    <row r="234" ht="33" customHeight="1" x14ac:dyDescent="0.25"/>
    <row r="235" ht="33" customHeight="1" x14ac:dyDescent="0.25"/>
    <row r="236" ht="33" customHeight="1" x14ac:dyDescent="0.25"/>
    <row r="237" ht="33" customHeight="1" x14ac:dyDescent="0.25"/>
    <row r="238" ht="33" customHeight="1" x14ac:dyDescent="0.25"/>
    <row r="239" ht="33" customHeight="1" x14ac:dyDescent="0.25"/>
    <row r="240" ht="33" customHeight="1" x14ac:dyDescent="0.25"/>
    <row r="241" ht="33" customHeight="1" x14ac:dyDescent="0.25"/>
    <row r="242" ht="33" customHeight="1" x14ac:dyDescent="0.25"/>
    <row r="243" ht="33" customHeight="1" x14ac:dyDescent="0.25"/>
    <row r="244" ht="33" customHeight="1" x14ac:dyDescent="0.25"/>
    <row r="245" ht="33" customHeight="1" x14ac:dyDescent="0.25"/>
    <row r="246" ht="33" customHeight="1" x14ac:dyDescent="0.25"/>
    <row r="247" ht="33" customHeight="1" x14ac:dyDescent="0.25"/>
    <row r="248" ht="33" customHeight="1" x14ac:dyDescent="0.25"/>
    <row r="249" ht="33" customHeight="1" x14ac:dyDescent="0.25"/>
    <row r="250" ht="33" customHeight="1" x14ac:dyDescent="0.25"/>
    <row r="251" ht="33" customHeight="1" x14ac:dyDescent="0.25"/>
    <row r="252" ht="33" customHeight="1" x14ac:dyDescent="0.25"/>
    <row r="253" ht="33" customHeight="1" x14ac:dyDescent="0.25"/>
    <row r="254" ht="33" customHeight="1" x14ac:dyDescent="0.25"/>
    <row r="255" ht="33" customHeight="1" x14ac:dyDescent="0.25"/>
    <row r="256" ht="33" customHeight="1" x14ac:dyDescent="0.25"/>
    <row r="257" ht="33" customHeight="1" x14ac:dyDescent="0.25"/>
    <row r="258" ht="33" customHeight="1" x14ac:dyDescent="0.25"/>
    <row r="259" ht="33" customHeight="1" x14ac:dyDescent="0.25"/>
    <row r="260" ht="33" customHeight="1" x14ac:dyDescent="0.25"/>
    <row r="261" ht="33" customHeight="1" x14ac:dyDescent="0.25"/>
    <row r="262" ht="33" customHeight="1" x14ac:dyDescent="0.25"/>
    <row r="263" ht="33" customHeight="1" x14ac:dyDescent="0.25"/>
    <row r="264" ht="33" customHeight="1" x14ac:dyDescent="0.25"/>
    <row r="265" ht="33" customHeight="1" x14ac:dyDescent="0.25"/>
    <row r="266" ht="33" customHeight="1" x14ac:dyDescent="0.25"/>
    <row r="267" ht="33" customHeight="1" x14ac:dyDescent="0.25"/>
    <row r="268" ht="33" customHeight="1" x14ac:dyDescent="0.25"/>
    <row r="269" ht="33" customHeight="1" x14ac:dyDescent="0.25"/>
    <row r="270" ht="33" customHeight="1" x14ac:dyDescent="0.25"/>
    <row r="271" ht="33" customHeight="1" x14ac:dyDescent="0.25"/>
    <row r="272" ht="33" customHeight="1" x14ac:dyDescent="0.25"/>
    <row r="273" ht="33" customHeight="1" x14ac:dyDescent="0.25"/>
    <row r="274" ht="33" customHeight="1" x14ac:dyDescent="0.25"/>
    <row r="275" ht="33" customHeight="1" x14ac:dyDescent="0.25"/>
    <row r="276" ht="33" customHeight="1" x14ac:dyDescent="0.25"/>
    <row r="277" ht="33" customHeight="1" x14ac:dyDescent="0.25"/>
    <row r="278" ht="33" customHeight="1" x14ac:dyDescent="0.25"/>
    <row r="279" ht="33" customHeight="1" x14ac:dyDescent="0.25"/>
    <row r="280" ht="33" customHeight="1" x14ac:dyDescent="0.25"/>
    <row r="281" ht="33" customHeight="1" x14ac:dyDescent="0.25"/>
    <row r="282" ht="33" customHeight="1" x14ac:dyDescent="0.25"/>
    <row r="283" ht="33" customHeight="1" x14ac:dyDescent="0.25"/>
    <row r="284" ht="33" customHeight="1" x14ac:dyDescent="0.25"/>
    <row r="285" ht="33" customHeight="1" x14ac:dyDescent="0.25"/>
    <row r="286" ht="33" customHeight="1" x14ac:dyDescent="0.25"/>
    <row r="287" ht="33" customHeight="1" x14ac:dyDescent="0.25"/>
    <row r="288" ht="33" customHeight="1" x14ac:dyDescent="0.25"/>
    <row r="289" ht="33" customHeight="1" x14ac:dyDescent="0.25"/>
    <row r="290" ht="33" customHeight="1" x14ac:dyDescent="0.25"/>
    <row r="291" ht="33" customHeight="1" x14ac:dyDescent="0.25"/>
    <row r="292" ht="33" customHeight="1" x14ac:dyDescent="0.25"/>
    <row r="293" ht="33" customHeight="1" x14ac:dyDescent="0.25"/>
    <row r="294" ht="33" customHeight="1" x14ac:dyDescent="0.25"/>
    <row r="295" ht="33" customHeight="1" x14ac:dyDescent="0.25"/>
    <row r="296" ht="33" customHeight="1" x14ac:dyDescent="0.25"/>
    <row r="297" ht="33" customHeight="1" x14ac:dyDescent="0.25"/>
    <row r="298" ht="33" customHeight="1" x14ac:dyDescent="0.25"/>
    <row r="299" ht="33" customHeight="1" x14ac:dyDescent="0.25"/>
    <row r="300" ht="33" customHeight="1" x14ac:dyDescent="0.25"/>
    <row r="301" ht="33" customHeight="1" x14ac:dyDescent="0.25"/>
    <row r="302" ht="33" customHeight="1" x14ac:dyDescent="0.25"/>
    <row r="303" ht="33" customHeight="1" x14ac:dyDescent="0.25"/>
    <row r="304" ht="33" customHeight="1" x14ac:dyDescent="0.25"/>
    <row r="305" ht="33" customHeight="1" x14ac:dyDescent="0.25"/>
    <row r="306" ht="33" customHeight="1" x14ac:dyDescent="0.25"/>
    <row r="307" ht="33" customHeight="1" x14ac:dyDescent="0.25"/>
    <row r="308" ht="33" customHeight="1" x14ac:dyDescent="0.25"/>
    <row r="309" ht="33" customHeight="1" x14ac:dyDescent="0.25"/>
    <row r="310" ht="33" customHeight="1" x14ac:dyDescent="0.25"/>
    <row r="311" ht="33" customHeight="1" x14ac:dyDescent="0.25"/>
    <row r="312" ht="33" customHeight="1" x14ac:dyDescent="0.25"/>
    <row r="313" ht="33" customHeight="1" x14ac:dyDescent="0.25"/>
    <row r="314" ht="33" customHeight="1" x14ac:dyDescent="0.25"/>
    <row r="315" ht="33" customHeight="1" x14ac:dyDescent="0.25"/>
    <row r="316" ht="33" customHeight="1" x14ac:dyDescent="0.25"/>
    <row r="317" ht="33" customHeight="1" x14ac:dyDescent="0.25"/>
    <row r="318" ht="33" customHeight="1" x14ac:dyDescent="0.25"/>
    <row r="319" ht="33" customHeight="1" x14ac:dyDescent="0.25"/>
    <row r="320" ht="33" customHeight="1" x14ac:dyDescent="0.25"/>
    <row r="321" ht="33" customHeight="1" x14ac:dyDescent="0.25"/>
    <row r="322" ht="33" customHeight="1" x14ac:dyDescent="0.25"/>
    <row r="323" ht="33" customHeight="1" x14ac:dyDescent="0.25"/>
    <row r="324" ht="33" customHeight="1" x14ac:dyDescent="0.25"/>
    <row r="325" ht="33" customHeight="1" x14ac:dyDescent="0.25"/>
    <row r="326" ht="33" customHeight="1" x14ac:dyDescent="0.25"/>
    <row r="327" ht="33" customHeight="1" x14ac:dyDescent="0.25"/>
    <row r="328" ht="33" customHeight="1" x14ac:dyDescent="0.25"/>
    <row r="329" ht="33" customHeight="1" x14ac:dyDescent="0.25"/>
    <row r="330" ht="33" customHeight="1" x14ac:dyDescent="0.25"/>
    <row r="331" ht="33" customHeight="1" x14ac:dyDescent="0.25"/>
    <row r="332" ht="33" customHeight="1" x14ac:dyDescent="0.25"/>
    <row r="333" ht="33" customHeight="1" x14ac:dyDescent="0.25"/>
    <row r="334" ht="33" customHeight="1" x14ac:dyDescent="0.25"/>
    <row r="335" ht="33" customHeight="1" x14ac:dyDescent="0.25"/>
    <row r="336" ht="33" customHeight="1" x14ac:dyDescent="0.25"/>
    <row r="337" ht="33" customHeight="1" x14ac:dyDescent="0.25"/>
    <row r="338" ht="33" customHeight="1" x14ac:dyDescent="0.25"/>
    <row r="339" ht="33" customHeight="1" x14ac:dyDescent="0.25"/>
    <row r="340" ht="33" customHeight="1" x14ac:dyDescent="0.25"/>
    <row r="341" ht="33" customHeight="1" x14ac:dyDescent="0.25"/>
    <row r="342" ht="33" customHeight="1" x14ac:dyDescent="0.25"/>
    <row r="343" ht="33" customHeight="1" x14ac:dyDescent="0.25"/>
    <row r="344" ht="33" customHeight="1" x14ac:dyDescent="0.25"/>
    <row r="345" ht="33" customHeight="1" x14ac:dyDescent="0.25"/>
    <row r="346" ht="33" customHeight="1" x14ac:dyDescent="0.25"/>
    <row r="347" ht="33" customHeight="1" x14ac:dyDescent="0.25"/>
    <row r="348" ht="33" customHeight="1" x14ac:dyDescent="0.25"/>
    <row r="349" ht="33" customHeight="1" x14ac:dyDescent="0.25"/>
    <row r="350" ht="33" customHeight="1" x14ac:dyDescent="0.25"/>
    <row r="351" ht="33" customHeight="1" x14ac:dyDescent="0.25"/>
    <row r="352" ht="33" customHeight="1" x14ac:dyDescent="0.25"/>
    <row r="353" ht="33" customHeight="1" x14ac:dyDescent="0.25"/>
    <row r="354" ht="33" customHeight="1" x14ac:dyDescent="0.25"/>
    <row r="355" ht="33" customHeight="1" x14ac:dyDescent="0.25"/>
    <row r="356" ht="33" customHeight="1" x14ac:dyDescent="0.25"/>
    <row r="357" ht="33" customHeight="1" x14ac:dyDescent="0.25"/>
    <row r="358" ht="33" customHeight="1" x14ac:dyDescent="0.25"/>
    <row r="359" ht="33" customHeight="1" x14ac:dyDescent="0.25"/>
    <row r="360" ht="33" customHeight="1" x14ac:dyDescent="0.25"/>
    <row r="361" ht="33" customHeight="1" x14ac:dyDescent="0.25"/>
    <row r="362" ht="33" customHeight="1" x14ac:dyDescent="0.25"/>
    <row r="363" ht="33" customHeight="1" x14ac:dyDescent="0.25"/>
    <row r="364" ht="33" customHeight="1" x14ac:dyDescent="0.25"/>
    <row r="365" ht="33" customHeight="1" x14ac:dyDescent="0.25"/>
  </sheetData>
  <mergeCells count="44">
    <mergeCell ref="B24:E24"/>
    <mergeCell ref="B25:E25"/>
    <mergeCell ref="B19:E19"/>
    <mergeCell ref="B20:E20"/>
    <mergeCell ref="B21:E21"/>
    <mergeCell ref="B22:E22"/>
    <mergeCell ref="B23:E23"/>
    <mergeCell ref="B14:E14"/>
    <mergeCell ref="B15:E15"/>
    <mergeCell ref="B16:E16"/>
    <mergeCell ref="B17:E17"/>
    <mergeCell ref="B18:E18"/>
    <mergeCell ref="A6:A7"/>
    <mergeCell ref="B6:E7"/>
    <mergeCell ref="F6:F7"/>
    <mergeCell ref="M6:M7"/>
    <mergeCell ref="N2:P4"/>
    <mergeCell ref="A3:B3"/>
    <mergeCell ref="A4:B4"/>
    <mergeCell ref="G3:M3"/>
    <mergeCell ref="G4:M4"/>
    <mergeCell ref="C2:M2"/>
    <mergeCell ref="C5:F5"/>
    <mergeCell ref="A5:B5"/>
    <mergeCell ref="H5:I5"/>
    <mergeCell ref="K5:L5"/>
    <mergeCell ref="C4:F4"/>
    <mergeCell ref="C3:F3"/>
    <mergeCell ref="T1:W1"/>
    <mergeCell ref="T2:W4"/>
    <mergeCell ref="M26:M27"/>
    <mergeCell ref="G26:L27"/>
    <mergeCell ref="G6:I6"/>
    <mergeCell ref="J6:L6"/>
    <mergeCell ref="Q2:S4"/>
    <mergeCell ref="N1:P1"/>
    <mergeCell ref="Q1:S1"/>
    <mergeCell ref="C1:M1"/>
    <mergeCell ref="B8:E8"/>
    <mergeCell ref="B9:E9"/>
    <mergeCell ref="B10:E10"/>
    <mergeCell ref="B11:E11"/>
    <mergeCell ref="B12:E12"/>
    <mergeCell ref="B13:E13"/>
  </mergeCells>
  <pageMargins left="0.19685039370078741" right="0.19685039370078741" top="0.39370078740157483" bottom="0.39370078740157483" header="0.31496062992125984" footer="0.31496062992125984"/>
  <pageSetup paperSize="9" scale="48" orientation="landscape" r:id="rId1"/>
  <colBreaks count="1" manualBreakCount="1">
    <brk id="2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54"/>
  <sheetViews>
    <sheetView zoomScale="55" zoomScaleNormal="55" zoomScaleSheetLayoutView="70" workbookViewId="0">
      <selection activeCell="AI23" sqref="AI23"/>
    </sheetView>
  </sheetViews>
  <sheetFormatPr defaultColWidth="3.88671875" defaultRowHeight="13.2" x14ac:dyDescent="0.25"/>
  <cols>
    <col min="1" max="1" width="5.6640625" style="56" customWidth="1"/>
    <col min="2" max="2" width="17.109375" style="56" customWidth="1"/>
    <col min="3" max="3" width="53.6640625" style="56" customWidth="1"/>
    <col min="4" max="4" width="10.109375" style="57" bestFit="1" customWidth="1"/>
    <col min="5" max="5" width="7.88671875" style="58" customWidth="1"/>
    <col min="6" max="7" width="6.33203125" style="56" customWidth="1"/>
    <col min="8" max="8" width="50.109375" style="57" bestFit="1" customWidth="1"/>
    <col min="9" max="9" width="5.6640625" style="57" customWidth="1"/>
    <col min="10" max="10" width="24.44140625" style="57" customWidth="1"/>
    <col min="11" max="11" width="5.6640625" style="57" customWidth="1"/>
    <col min="12" max="13" width="15.5546875" style="57" customWidth="1"/>
    <col min="14" max="14" width="6.109375" style="57" customWidth="1"/>
    <col min="15" max="15" width="12.88671875" style="57" customWidth="1"/>
    <col min="16" max="16" width="7.6640625" style="57" customWidth="1"/>
    <col min="17" max="17" width="6" style="57" customWidth="1"/>
    <col min="18" max="18" width="6.109375" style="57" customWidth="1"/>
    <col min="19" max="16384" width="3.88671875" style="57"/>
  </cols>
  <sheetData>
    <row r="1" spans="1:18" ht="20.25" customHeight="1" x14ac:dyDescent="0.3">
      <c r="A1" s="244"/>
      <c r="B1" s="244"/>
      <c r="C1" s="264" t="s">
        <v>108</v>
      </c>
      <c r="D1" s="264"/>
      <c r="E1" s="264"/>
      <c r="F1" s="264"/>
      <c r="G1" s="264"/>
      <c r="H1" s="264"/>
      <c r="I1" s="265" t="s">
        <v>21</v>
      </c>
      <c r="J1" s="265"/>
      <c r="K1" s="265"/>
      <c r="L1" s="265" t="s">
        <v>22</v>
      </c>
      <c r="M1" s="265"/>
      <c r="N1" s="265"/>
      <c r="O1" s="265" t="s">
        <v>23</v>
      </c>
      <c r="P1" s="265"/>
      <c r="Q1" s="265"/>
      <c r="R1" s="265"/>
    </row>
    <row r="2" spans="1:18" ht="19.5" customHeight="1" x14ac:dyDescent="0.25">
      <c r="A2" s="244"/>
      <c r="B2" s="244"/>
      <c r="C2" s="264"/>
      <c r="D2" s="264"/>
      <c r="E2" s="264"/>
      <c r="F2" s="264"/>
      <c r="G2" s="264"/>
      <c r="H2" s="264"/>
      <c r="I2" s="266"/>
      <c r="J2" s="266"/>
      <c r="K2" s="266"/>
      <c r="L2" s="266"/>
      <c r="M2" s="266"/>
      <c r="N2" s="266"/>
      <c r="O2" s="266"/>
      <c r="P2" s="266"/>
      <c r="Q2" s="266"/>
      <c r="R2" s="266"/>
    </row>
    <row r="3" spans="1:18" ht="19.5" customHeight="1" x14ac:dyDescent="0.25">
      <c r="A3" s="244"/>
      <c r="B3" s="244"/>
      <c r="C3" s="264"/>
      <c r="D3" s="264"/>
      <c r="E3" s="264"/>
      <c r="F3" s="264"/>
      <c r="G3" s="264"/>
      <c r="H3" s="264"/>
      <c r="I3" s="266"/>
      <c r="J3" s="266"/>
      <c r="K3" s="266"/>
      <c r="L3" s="266"/>
      <c r="M3" s="266"/>
      <c r="N3" s="266"/>
      <c r="O3" s="266"/>
      <c r="P3" s="266"/>
      <c r="Q3" s="266"/>
      <c r="R3" s="266"/>
    </row>
    <row r="4" spans="1:18" ht="29.25" customHeight="1" x14ac:dyDescent="0.25">
      <c r="A4" s="249" t="s">
        <v>24</v>
      </c>
      <c r="B4" s="249"/>
      <c r="C4" s="249"/>
      <c r="D4" s="60"/>
      <c r="F4" s="259" t="s">
        <v>25</v>
      </c>
      <c r="G4" s="260"/>
      <c r="H4" s="263" t="s">
        <v>26</v>
      </c>
      <c r="I4" s="247" t="s">
        <v>27</v>
      </c>
      <c r="J4" s="248"/>
      <c r="K4" s="247" t="s">
        <v>28</v>
      </c>
      <c r="L4" s="248"/>
      <c r="M4" s="247" t="s">
        <v>29</v>
      </c>
      <c r="N4" s="248"/>
      <c r="O4" s="57" t="s">
        <v>30</v>
      </c>
      <c r="R4" s="68"/>
    </row>
    <row r="5" spans="1:18" ht="18.75" customHeight="1" x14ac:dyDescent="0.4">
      <c r="A5" s="249" t="s">
        <v>32</v>
      </c>
      <c r="B5" s="249"/>
      <c r="C5" s="249"/>
      <c r="D5" s="60"/>
      <c r="F5" s="261"/>
      <c r="G5" s="262"/>
      <c r="H5" s="263"/>
      <c r="I5" s="61"/>
      <c r="J5" s="62"/>
      <c r="K5" s="63"/>
      <c r="L5" s="64"/>
      <c r="M5" s="65"/>
      <c r="N5" s="66" t="s">
        <v>31</v>
      </c>
      <c r="P5" s="67"/>
      <c r="R5" s="68"/>
    </row>
    <row r="6" spans="1:18" ht="18.75" customHeight="1" x14ac:dyDescent="0.4">
      <c r="A6" s="249"/>
      <c r="B6" s="249"/>
      <c r="C6" s="249"/>
      <c r="D6" s="196" t="s">
        <v>33</v>
      </c>
      <c r="E6" s="70"/>
      <c r="F6" s="71"/>
      <c r="G6" s="72"/>
      <c r="H6" s="250" t="s">
        <v>34</v>
      </c>
      <c r="I6" s="69" t="s">
        <v>35</v>
      </c>
      <c r="J6" s="73"/>
      <c r="K6" s="69" t="s">
        <v>36</v>
      </c>
      <c r="L6" s="73"/>
      <c r="M6" s="74"/>
      <c r="N6" s="66" t="s">
        <v>37</v>
      </c>
      <c r="R6" s="68"/>
    </row>
    <row r="7" spans="1:18" ht="18.75" customHeight="1" x14ac:dyDescent="0.4">
      <c r="A7" s="251" t="s">
        <v>49</v>
      </c>
      <c r="B7" s="252"/>
      <c r="C7" s="253"/>
      <c r="D7" s="257"/>
      <c r="E7" s="258"/>
      <c r="F7" s="75"/>
      <c r="G7" s="76"/>
      <c r="H7" s="250"/>
      <c r="I7" s="61"/>
      <c r="J7" s="77"/>
      <c r="K7" s="78"/>
      <c r="L7" s="79"/>
      <c r="M7" s="80"/>
      <c r="N7" s="66" t="s">
        <v>38</v>
      </c>
      <c r="O7" s="81"/>
      <c r="P7" s="82">
        <f>L7-E42</f>
        <v>0</v>
      </c>
      <c r="R7" s="68"/>
    </row>
    <row r="8" spans="1:18" ht="18.75" customHeight="1" x14ac:dyDescent="0.35">
      <c r="A8" s="254"/>
      <c r="B8" s="255"/>
      <c r="C8" s="256"/>
      <c r="D8" s="83"/>
      <c r="E8" s="84" t="s">
        <v>39</v>
      </c>
      <c r="F8" s="85"/>
      <c r="G8" s="85"/>
      <c r="H8" s="61"/>
      <c r="I8" s="86"/>
      <c r="J8" s="87" t="s">
        <v>40</v>
      </c>
      <c r="K8" s="86"/>
      <c r="L8" s="87" t="s">
        <v>41</v>
      </c>
      <c r="M8" s="61"/>
      <c r="N8" s="88" t="s">
        <v>42</v>
      </c>
      <c r="O8" s="89"/>
      <c r="P8" s="89"/>
      <c r="Q8" s="89"/>
      <c r="R8" s="90"/>
    </row>
    <row r="9" spans="1:18" ht="37.5" customHeight="1" x14ac:dyDescent="0.25">
      <c r="A9" s="91" t="s">
        <v>43</v>
      </c>
      <c r="B9" s="245" t="s">
        <v>44</v>
      </c>
      <c r="C9" s="246"/>
      <c r="D9" s="92" t="s">
        <v>45</v>
      </c>
      <c r="E9" s="93" t="s">
        <v>31</v>
      </c>
      <c r="F9" s="83" t="s">
        <v>37</v>
      </c>
      <c r="G9" s="83" t="s">
        <v>38</v>
      </c>
      <c r="R9" s="68"/>
    </row>
    <row r="10" spans="1:18" ht="24.9" customHeight="1" x14ac:dyDescent="0.25">
      <c r="A10" s="83">
        <v>1</v>
      </c>
      <c r="B10" s="244"/>
      <c r="C10" s="244"/>
      <c r="D10" s="94"/>
      <c r="E10" s="95"/>
      <c r="F10" s="83"/>
      <c r="G10" s="94"/>
      <c r="H10" s="57">
        <v>0</v>
      </c>
      <c r="R10" s="68"/>
    </row>
    <row r="11" spans="1:18" ht="24.9" customHeight="1" x14ac:dyDescent="0.25">
      <c r="A11" s="83">
        <v>2</v>
      </c>
      <c r="B11" s="244"/>
      <c r="C11" s="244"/>
      <c r="D11" s="94"/>
      <c r="E11" s="95"/>
      <c r="F11" s="83"/>
      <c r="G11" s="94"/>
      <c r="H11" s="57">
        <f>E10+G10</f>
        <v>0</v>
      </c>
      <c r="R11" s="68"/>
    </row>
    <row r="12" spans="1:18" ht="24.9" customHeight="1" x14ac:dyDescent="0.25">
      <c r="A12" s="83">
        <v>3</v>
      </c>
      <c r="B12" s="244"/>
      <c r="C12" s="244"/>
      <c r="D12" s="94"/>
      <c r="E12" s="95"/>
      <c r="F12" s="83"/>
      <c r="G12" s="83"/>
      <c r="H12" s="96">
        <f t="shared" ref="H12:H39" si="0">H11+G11+E11</f>
        <v>0</v>
      </c>
      <c r="R12" s="68"/>
    </row>
    <row r="13" spans="1:18" ht="24.9" customHeight="1" x14ac:dyDescent="0.25">
      <c r="A13" s="83">
        <v>4</v>
      </c>
      <c r="B13" s="244"/>
      <c r="C13" s="244"/>
      <c r="D13" s="94"/>
      <c r="E13" s="95"/>
      <c r="F13" s="83"/>
      <c r="G13" s="83"/>
      <c r="H13" s="96">
        <f t="shared" si="0"/>
        <v>0</v>
      </c>
      <c r="R13" s="68"/>
    </row>
    <row r="14" spans="1:18" ht="24.9" customHeight="1" x14ac:dyDescent="0.25">
      <c r="A14" s="83">
        <v>5</v>
      </c>
      <c r="B14" s="244"/>
      <c r="C14" s="244"/>
      <c r="D14" s="94"/>
      <c r="E14" s="95"/>
      <c r="F14" s="83"/>
      <c r="G14" s="83"/>
      <c r="H14" s="96">
        <f t="shared" si="0"/>
        <v>0</v>
      </c>
      <c r="R14" s="68"/>
    </row>
    <row r="15" spans="1:18" ht="24.9" customHeight="1" x14ac:dyDescent="0.25">
      <c r="A15" s="83">
        <v>6</v>
      </c>
      <c r="B15" s="244"/>
      <c r="C15" s="244"/>
      <c r="D15" s="94"/>
      <c r="E15" s="95"/>
      <c r="F15" s="83"/>
      <c r="G15" s="83"/>
      <c r="H15" s="96">
        <f t="shared" si="0"/>
        <v>0</v>
      </c>
      <c r="R15" s="68"/>
    </row>
    <row r="16" spans="1:18" ht="24.9" customHeight="1" x14ac:dyDescent="0.25">
      <c r="A16" s="83">
        <v>7</v>
      </c>
      <c r="B16" s="244"/>
      <c r="C16" s="244"/>
      <c r="D16" s="94"/>
      <c r="E16" s="95"/>
      <c r="F16" s="83"/>
      <c r="G16" s="83"/>
      <c r="H16" s="96">
        <f t="shared" si="0"/>
        <v>0</v>
      </c>
      <c r="R16" s="68"/>
    </row>
    <row r="17" spans="1:18" ht="24.9" customHeight="1" x14ac:dyDescent="0.25">
      <c r="A17" s="83">
        <v>8</v>
      </c>
      <c r="B17" s="244"/>
      <c r="C17" s="244"/>
      <c r="D17" s="94"/>
      <c r="E17" s="95"/>
      <c r="F17" s="83"/>
      <c r="G17" s="83"/>
      <c r="H17" s="96">
        <f t="shared" si="0"/>
        <v>0</v>
      </c>
      <c r="R17" s="68"/>
    </row>
    <row r="18" spans="1:18" ht="24.9" customHeight="1" x14ac:dyDescent="0.25">
      <c r="A18" s="83">
        <v>9</v>
      </c>
      <c r="B18" s="244"/>
      <c r="C18" s="244"/>
      <c r="D18" s="94"/>
      <c r="E18" s="95"/>
      <c r="F18" s="83"/>
      <c r="G18" s="83"/>
      <c r="H18" s="96">
        <f t="shared" si="0"/>
        <v>0</v>
      </c>
      <c r="R18" s="68"/>
    </row>
    <row r="19" spans="1:18" ht="24.9" customHeight="1" x14ac:dyDescent="0.25">
      <c r="A19" s="83">
        <v>10</v>
      </c>
      <c r="B19" s="244"/>
      <c r="C19" s="244"/>
      <c r="D19" s="83"/>
      <c r="E19" s="95"/>
      <c r="F19" s="83"/>
      <c r="G19" s="83"/>
      <c r="H19" s="96">
        <f t="shared" si="0"/>
        <v>0</v>
      </c>
      <c r="R19" s="68"/>
    </row>
    <row r="20" spans="1:18" ht="24.9" customHeight="1" x14ac:dyDescent="0.25">
      <c r="A20" s="83">
        <v>11</v>
      </c>
      <c r="B20" s="244"/>
      <c r="C20" s="244"/>
      <c r="D20" s="83"/>
      <c r="E20" s="95"/>
      <c r="F20" s="83"/>
      <c r="G20" s="83"/>
      <c r="H20" s="96">
        <f t="shared" si="0"/>
        <v>0</v>
      </c>
      <c r="R20" s="68"/>
    </row>
    <row r="21" spans="1:18" ht="24.9" customHeight="1" x14ac:dyDescent="0.25">
      <c r="A21" s="83">
        <v>12</v>
      </c>
      <c r="B21" s="244"/>
      <c r="C21" s="244"/>
      <c r="D21" s="83"/>
      <c r="E21" s="95"/>
      <c r="F21" s="83"/>
      <c r="G21" s="83"/>
      <c r="H21" s="96">
        <f t="shared" si="0"/>
        <v>0</v>
      </c>
      <c r="R21" s="68"/>
    </row>
    <row r="22" spans="1:18" ht="24.9" customHeight="1" x14ac:dyDescent="0.25">
      <c r="A22" s="83">
        <v>13</v>
      </c>
      <c r="B22" s="244"/>
      <c r="C22" s="244"/>
      <c r="D22" s="83"/>
      <c r="E22" s="95"/>
      <c r="F22" s="83"/>
      <c r="G22" s="83"/>
      <c r="H22" s="96">
        <f t="shared" si="0"/>
        <v>0</v>
      </c>
      <c r="R22" s="68"/>
    </row>
    <row r="23" spans="1:18" ht="24.9" customHeight="1" x14ac:dyDescent="0.25">
      <c r="A23" s="83">
        <v>14</v>
      </c>
      <c r="B23" s="244"/>
      <c r="C23" s="244"/>
      <c r="D23" s="83"/>
      <c r="E23" s="95"/>
      <c r="F23" s="83"/>
      <c r="G23" s="83"/>
      <c r="H23" s="96">
        <f t="shared" si="0"/>
        <v>0</v>
      </c>
      <c r="R23" s="68"/>
    </row>
    <row r="24" spans="1:18" ht="24.9" customHeight="1" x14ac:dyDescent="0.25">
      <c r="A24" s="83">
        <v>15</v>
      </c>
      <c r="B24" s="244"/>
      <c r="C24" s="244"/>
      <c r="D24" s="83"/>
      <c r="E24" s="95"/>
      <c r="F24" s="83"/>
      <c r="G24" s="83"/>
      <c r="H24" s="96">
        <f t="shared" si="0"/>
        <v>0</v>
      </c>
      <c r="R24" s="68"/>
    </row>
    <row r="25" spans="1:18" ht="24.9" customHeight="1" x14ac:dyDescent="0.25">
      <c r="A25" s="83">
        <v>16</v>
      </c>
      <c r="B25" s="244"/>
      <c r="C25" s="244"/>
      <c r="D25" s="83"/>
      <c r="E25" s="95"/>
      <c r="F25" s="83"/>
      <c r="G25" s="83"/>
      <c r="H25" s="96">
        <f t="shared" si="0"/>
        <v>0</v>
      </c>
      <c r="R25" s="68"/>
    </row>
    <row r="26" spans="1:18" ht="24.9" customHeight="1" x14ac:dyDescent="0.25">
      <c r="A26" s="83">
        <v>17</v>
      </c>
      <c r="B26" s="244"/>
      <c r="C26" s="244"/>
      <c r="D26" s="83"/>
      <c r="E26" s="95"/>
      <c r="F26" s="83"/>
      <c r="G26" s="83"/>
      <c r="H26" s="96">
        <f t="shared" si="0"/>
        <v>0</v>
      </c>
      <c r="R26" s="68"/>
    </row>
    <row r="27" spans="1:18" ht="24.9" customHeight="1" x14ac:dyDescent="0.25">
      <c r="A27" s="83">
        <v>18</v>
      </c>
      <c r="B27" s="244"/>
      <c r="C27" s="244"/>
      <c r="D27" s="83"/>
      <c r="E27" s="95"/>
      <c r="F27" s="83"/>
      <c r="G27" s="83"/>
      <c r="H27" s="96">
        <f t="shared" si="0"/>
        <v>0</v>
      </c>
      <c r="R27" s="68"/>
    </row>
    <row r="28" spans="1:18" ht="24.9" customHeight="1" x14ac:dyDescent="0.25">
      <c r="A28" s="83">
        <v>19</v>
      </c>
      <c r="B28" s="244"/>
      <c r="C28" s="244"/>
      <c r="D28" s="83"/>
      <c r="E28" s="95"/>
      <c r="F28" s="83"/>
      <c r="G28" s="83"/>
      <c r="H28" s="96">
        <f t="shared" si="0"/>
        <v>0</v>
      </c>
      <c r="R28" s="68"/>
    </row>
    <row r="29" spans="1:18" ht="24.9" customHeight="1" x14ac:dyDescent="0.25">
      <c r="A29" s="83">
        <v>20</v>
      </c>
      <c r="B29" s="244"/>
      <c r="C29" s="244"/>
      <c r="D29" s="83"/>
      <c r="E29" s="95"/>
      <c r="F29" s="83"/>
      <c r="G29" s="83"/>
      <c r="H29" s="96">
        <f t="shared" si="0"/>
        <v>0</v>
      </c>
      <c r="R29" s="68"/>
    </row>
    <row r="30" spans="1:18" ht="24.9" customHeight="1" x14ac:dyDescent="0.25">
      <c r="A30" s="83">
        <v>21</v>
      </c>
      <c r="B30" s="244"/>
      <c r="C30" s="244"/>
      <c r="D30" s="83"/>
      <c r="E30" s="95"/>
      <c r="F30" s="83"/>
      <c r="G30" s="83"/>
      <c r="H30" s="96">
        <f t="shared" si="0"/>
        <v>0</v>
      </c>
      <c r="R30" s="68"/>
    </row>
    <row r="31" spans="1:18" ht="24.9" customHeight="1" x14ac:dyDescent="0.25">
      <c r="A31" s="83">
        <v>22</v>
      </c>
      <c r="B31" s="244"/>
      <c r="C31" s="244"/>
      <c r="D31" s="83"/>
      <c r="E31" s="95"/>
      <c r="F31" s="83"/>
      <c r="G31" s="97"/>
      <c r="H31" s="96">
        <f t="shared" si="0"/>
        <v>0</v>
      </c>
      <c r="R31" s="68"/>
    </row>
    <row r="32" spans="1:18" ht="24.9" customHeight="1" x14ac:dyDescent="0.25">
      <c r="A32" s="83">
        <v>23</v>
      </c>
      <c r="B32" s="244"/>
      <c r="C32" s="244"/>
      <c r="D32" s="83"/>
      <c r="E32" s="95"/>
      <c r="F32" s="83"/>
      <c r="G32" s="83"/>
      <c r="H32" s="96">
        <f t="shared" si="0"/>
        <v>0</v>
      </c>
      <c r="R32" s="68"/>
    </row>
    <row r="33" spans="1:18" ht="24.9" customHeight="1" x14ac:dyDescent="0.25">
      <c r="A33" s="83">
        <v>24</v>
      </c>
      <c r="B33" s="244"/>
      <c r="C33" s="244"/>
      <c r="D33" s="83"/>
      <c r="E33" s="95"/>
      <c r="F33" s="98"/>
      <c r="G33" s="83"/>
      <c r="H33" s="96">
        <f t="shared" si="0"/>
        <v>0</v>
      </c>
      <c r="R33" s="68"/>
    </row>
    <row r="34" spans="1:18" ht="24.9" customHeight="1" x14ac:dyDescent="0.25">
      <c r="A34" s="83">
        <v>25</v>
      </c>
      <c r="B34" s="244"/>
      <c r="C34" s="244"/>
      <c r="D34" s="83"/>
      <c r="E34" s="95"/>
      <c r="F34" s="83"/>
      <c r="G34" s="83"/>
      <c r="H34" s="96">
        <f t="shared" si="0"/>
        <v>0</v>
      </c>
      <c r="R34" s="68"/>
    </row>
    <row r="35" spans="1:18" ht="24.9" customHeight="1" x14ac:dyDescent="0.25">
      <c r="A35" s="83">
        <v>26</v>
      </c>
      <c r="B35" s="244"/>
      <c r="C35" s="244"/>
      <c r="D35" s="83"/>
      <c r="E35" s="95"/>
      <c r="F35" s="83"/>
      <c r="G35" s="83"/>
      <c r="H35" s="96">
        <f t="shared" si="0"/>
        <v>0</v>
      </c>
      <c r="R35" s="68"/>
    </row>
    <row r="36" spans="1:18" ht="24.9" customHeight="1" x14ac:dyDescent="0.25">
      <c r="A36" s="83">
        <v>27</v>
      </c>
      <c r="B36" s="244"/>
      <c r="C36" s="244"/>
      <c r="D36" s="83"/>
      <c r="E36" s="95"/>
      <c r="F36" s="83"/>
      <c r="G36" s="83"/>
      <c r="H36" s="96">
        <f t="shared" si="0"/>
        <v>0</v>
      </c>
      <c r="R36" s="68"/>
    </row>
    <row r="37" spans="1:18" ht="24.9" customHeight="1" x14ac:dyDescent="0.25">
      <c r="A37" s="83">
        <v>28</v>
      </c>
      <c r="B37" s="244"/>
      <c r="C37" s="244"/>
      <c r="D37" s="83"/>
      <c r="E37" s="95"/>
      <c r="F37" s="83"/>
      <c r="G37" s="83"/>
      <c r="H37" s="96">
        <f t="shared" si="0"/>
        <v>0</v>
      </c>
      <c r="R37" s="68"/>
    </row>
    <row r="38" spans="1:18" ht="24.9" customHeight="1" x14ac:dyDescent="0.25">
      <c r="A38" s="83">
        <v>29</v>
      </c>
      <c r="B38" s="244"/>
      <c r="C38" s="244"/>
      <c r="D38" s="83"/>
      <c r="E38" s="95"/>
      <c r="F38" s="83"/>
      <c r="G38" s="83"/>
      <c r="H38" s="96">
        <f t="shared" si="0"/>
        <v>0</v>
      </c>
      <c r="R38" s="68"/>
    </row>
    <row r="39" spans="1:18" ht="24.9" customHeight="1" x14ac:dyDescent="0.25">
      <c r="A39" s="83">
        <v>30</v>
      </c>
      <c r="B39" s="244"/>
      <c r="C39" s="244"/>
      <c r="D39" s="83"/>
      <c r="E39" s="95"/>
      <c r="F39" s="83"/>
      <c r="G39" s="83"/>
      <c r="H39" s="96">
        <f t="shared" si="0"/>
        <v>0</v>
      </c>
      <c r="R39" s="68"/>
    </row>
    <row r="40" spans="1:18" ht="24.9" customHeight="1" x14ac:dyDescent="0.25">
      <c r="A40" s="99"/>
      <c r="B40" s="197"/>
      <c r="C40" s="100"/>
      <c r="D40" s="97"/>
      <c r="E40" s="93"/>
      <c r="F40" s="83"/>
      <c r="G40" s="97"/>
      <c r="H40" s="101"/>
      <c r="R40" s="68"/>
    </row>
    <row r="41" spans="1:18" ht="24.9" customHeight="1" x14ac:dyDescent="0.25">
      <c r="A41" s="59"/>
      <c r="D41" s="97"/>
      <c r="E41" s="93">
        <f>SUM($E$10:$E$39)</f>
        <v>0</v>
      </c>
      <c r="F41" s="83"/>
      <c r="G41" s="83">
        <f>SUM($G$10:$G$39)</f>
        <v>0</v>
      </c>
      <c r="H41" s="102" t="s">
        <v>46</v>
      </c>
      <c r="I41" s="102"/>
      <c r="K41" s="103"/>
      <c r="R41" s="68"/>
    </row>
    <row r="42" spans="1:18" ht="24.9" customHeight="1" thickBot="1" x14ac:dyDescent="0.3">
      <c r="A42" s="104"/>
      <c r="B42" s="105"/>
      <c r="C42" s="105"/>
      <c r="D42" s="106" t="s">
        <v>47</v>
      </c>
      <c r="E42" s="107">
        <f>SUM($E$41,$G$41)</f>
        <v>0</v>
      </c>
      <c r="F42" s="108"/>
      <c r="G42" s="109"/>
      <c r="H42" s="110"/>
      <c r="I42" s="111" t="s">
        <v>48</v>
      </c>
      <c r="J42" s="110"/>
      <c r="K42" s="111"/>
      <c r="L42" s="110"/>
      <c r="M42" s="110"/>
      <c r="N42" s="110"/>
      <c r="O42" s="110"/>
      <c r="P42" s="110"/>
      <c r="Q42" s="110"/>
      <c r="R42" s="112"/>
    </row>
    <row r="43" spans="1:18" ht="32.4" customHeight="1" x14ac:dyDescent="0.25"/>
    <row r="44" spans="1:18" ht="12" customHeight="1" x14ac:dyDescent="0.25"/>
    <row r="45" spans="1:18" ht="12" customHeight="1" x14ac:dyDescent="0.25"/>
    <row r="46" spans="1:18" ht="12" customHeight="1" x14ac:dyDescent="0.25"/>
    <row r="47" spans="1:18" ht="12" customHeight="1" x14ac:dyDescent="0.25"/>
    <row r="48" spans="1:18" ht="12" customHeight="1" x14ac:dyDescent="0.25"/>
    <row r="50" spans="1:56" s="58" customFormat="1" x14ac:dyDescent="0.25">
      <c r="A50" s="56"/>
      <c r="B50" s="56"/>
      <c r="C50" s="56"/>
      <c r="D50" s="81"/>
      <c r="F50" s="56"/>
      <c r="G50" s="56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</row>
    <row r="51" spans="1:56" s="58" customFormat="1" ht="27.15" customHeight="1" x14ac:dyDescent="0.25">
      <c r="A51" s="56"/>
      <c r="B51" s="56"/>
      <c r="C51" s="113"/>
      <c r="D51" s="81"/>
      <c r="F51" s="56"/>
      <c r="G51" s="56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</row>
    <row r="52" spans="1:56" s="58" customFormat="1" ht="27.15" customHeight="1" x14ac:dyDescent="0.25">
      <c r="A52" s="56"/>
      <c r="B52" s="56"/>
      <c r="C52" s="113"/>
      <c r="D52" s="81"/>
      <c r="F52" s="56"/>
      <c r="G52" s="56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</row>
    <row r="53" spans="1:56" s="58" customFormat="1" ht="27.15" customHeight="1" x14ac:dyDescent="0.25">
      <c r="A53" s="56"/>
      <c r="B53" s="56"/>
      <c r="C53" s="113"/>
      <c r="D53" s="81"/>
      <c r="F53" s="56"/>
      <c r="G53" s="56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</row>
    <row r="54" spans="1:56" s="58" customFormat="1" x14ac:dyDescent="0.25">
      <c r="A54" s="56"/>
      <c r="B54" s="56"/>
      <c r="C54" s="113"/>
      <c r="D54" s="57"/>
      <c r="F54" s="56"/>
      <c r="G54" s="56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</row>
  </sheetData>
  <mergeCells count="49">
    <mergeCell ref="A1:B3"/>
    <mergeCell ref="C1:H3"/>
    <mergeCell ref="I1:K1"/>
    <mergeCell ref="L1:N1"/>
    <mergeCell ref="O1:R1"/>
    <mergeCell ref="I2:K3"/>
    <mergeCell ref="L2:N3"/>
    <mergeCell ref="O2:R3"/>
    <mergeCell ref="M4:N4"/>
    <mergeCell ref="A5:C6"/>
    <mergeCell ref="H6:H7"/>
    <mergeCell ref="A7:C8"/>
    <mergeCell ref="D7:E7"/>
    <mergeCell ref="A4:C4"/>
    <mergeCell ref="F4:G5"/>
    <mergeCell ref="H4:H5"/>
    <mergeCell ref="I4:J4"/>
    <mergeCell ref="K4:L4"/>
    <mergeCell ref="B20:C2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9:C39"/>
    <mergeCell ref="B33:C33"/>
    <mergeCell ref="B34:C34"/>
    <mergeCell ref="B35:C35"/>
    <mergeCell ref="B36:C36"/>
    <mergeCell ref="B37:C37"/>
    <mergeCell ref="B38:C38"/>
  </mergeCells>
  <conditionalFormatting sqref="F41">
    <cfRule type="expression" dxfId="0" priority="1" stopIfTrue="1">
      <formula>"&lt;0"</formula>
    </cfRule>
  </conditionalFormatting>
  <printOptions horizontalCentered="1"/>
  <pageMargins left="0" right="0" top="0.39370078740157483" bottom="0.19685039370078741" header="0.23622047244094491" footer="0.27559055118110237"/>
  <pageSetup paperSize="9" scale="53" orientation="landscape" horizontalDpi="300" verticalDpi="300" r:id="rId1"/>
  <headerFooter alignWithMargins="0">
    <oddFooter>&amp;C&amp;P/&amp;N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Y47"/>
  <sheetViews>
    <sheetView view="pageBreakPreview" zoomScale="60" zoomScaleNormal="75" workbookViewId="0">
      <selection activeCell="B3" sqref="B3:AL6"/>
    </sheetView>
  </sheetViews>
  <sheetFormatPr defaultColWidth="5.44140625" defaultRowHeight="24" customHeight="1" x14ac:dyDescent="0.6"/>
  <cols>
    <col min="1" max="37" width="5.6640625" style="166" customWidth="1"/>
    <col min="38" max="38" width="5.6640625" style="165" customWidth="1"/>
    <col min="39" max="40" width="5.44140625" style="165" customWidth="1"/>
    <col min="41" max="257" width="5.44140625" style="166"/>
    <col min="258" max="258" width="13.44140625" style="166" customWidth="1"/>
    <col min="259" max="296" width="5.44140625" style="166" customWidth="1"/>
    <col min="297" max="513" width="5.44140625" style="166"/>
    <col min="514" max="514" width="13.44140625" style="166" customWidth="1"/>
    <col min="515" max="552" width="5.44140625" style="166" customWidth="1"/>
    <col min="553" max="769" width="5.44140625" style="166"/>
    <col min="770" max="770" width="13.44140625" style="166" customWidth="1"/>
    <col min="771" max="808" width="5.44140625" style="166" customWidth="1"/>
    <col min="809" max="1025" width="5.44140625" style="166"/>
    <col min="1026" max="1026" width="13.44140625" style="166" customWidth="1"/>
    <col min="1027" max="1064" width="5.44140625" style="166" customWidth="1"/>
    <col min="1065" max="1281" width="5.44140625" style="166"/>
    <col min="1282" max="1282" width="13.44140625" style="166" customWidth="1"/>
    <col min="1283" max="1320" width="5.44140625" style="166" customWidth="1"/>
    <col min="1321" max="1537" width="5.44140625" style="166"/>
    <col min="1538" max="1538" width="13.44140625" style="166" customWidth="1"/>
    <col min="1539" max="1576" width="5.44140625" style="166" customWidth="1"/>
    <col min="1577" max="1793" width="5.44140625" style="166"/>
    <col min="1794" max="1794" width="13.44140625" style="166" customWidth="1"/>
    <col min="1795" max="1832" width="5.44140625" style="166" customWidth="1"/>
    <col min="1833" max="2049" width="5.44140625" style="166"/>
    <col min="2050" max="2050" width="13.44140625" style="166" customWidth="1"/>
    <col min="2051" max="2088" width="5.44140625" style="166" customWidth="1"/>
    <col min="2089" max="2305" width="5.44140625" style="166"/>
    <col min="2306" max="2306" width="13.44140625" style="166" customWidth="1"/>
    <col min="2307" max="2344" width="5.44140625" style="166" customWidth="1"/>
    <col min="2345" max="2561" width="5.44140625" style="166"/>
    <col min="2562" max="2562" width="13.44140625" style="166" customWidth="1"/>
    <col min="2563" max="2600" width="5.44140625" style="166" customWidth="1"/>
    <col min="2601" max="2817" width="5.44140625" style="166"/>
    <col min="2818" max="2818" width="13.44140625" style="166" customWidth="1"/>
    <col min="2819" max="2856" width="5.44140625" style="166" customWidth="1"/>
    <col min="2857" max="3073" width="5.44140625" style="166"/>
    <col min="3074" max="3074" width="13.44140625" style="166" customWidth="1"/>
    <col min="3075" max="3112" width="5.44140625" style="166" customWidth="1"/>
    <col min="3113" max="3329" width="5.44140625" style="166"/>
    <col min="3330" max="3330" width="13.44140625" style="166" customWidth="1"/>
    <col min="3331" max="3368" width="5.44140625" style="166" customWidth="1"/>
    <col min="3369" max="3585" width="5.44140625" style="166"/>
    <col min="3586" max="3586" width="13.44140625" style="166" customWidth="1"/>
    <col min="3587" max="3624" width="5.44140625" style="166" customWidth="1"/>
    <col min="3625" max="3841" width="5.44140625" style="166"/>
    <col min="3842" max="3842" width="13.44140625" style="166" customWidth="1"/>
    <col min="3843" max="3880" width="5.44140625" style="166" customWidth="1"/>
    <col min="3881" max="4097" width="5.44140625" style="166"/>
    <col min="4098" max="4098" width="13.44140625" style="166" customWidth="1"/>
    <col min="4099" max="4136" width="5.44140625" style="166" customWidth="1"/>
    <col min="4137" max="4353" width="5.44140625" style="166"/>
    <col min="4354" max="4354" width="13.44140625" style="166" customWidth="1"/>
    <col min="4355" max="4392" width="5.44140625" style="166" customWidth="1"/>
    <col min="4393" max="4609" width="5.44140625" style="166"/>
    <col min="4610" max="4610" width="13.44140625" style="166" customWidth="1"/>
    <col min="4611" max="4648" width="5.44140625" style="166" customWidth="1"/>
    <col min="4649" max="4865" width="5.44140625" style="166"/>
    <col min="4866" max="4866" width="13.44140625" style="166" customWidth="1"/>
    <col min="4867" max="4904" width="5.44140625" style="166" customWidth="1"/>
    <col min="4905" max="5121" width="5.44140625" style="166"/>
    <col min="5122" max="5122" width="13.44140625" style="166" customWidth="1"/>
    <col min="5123" max="5160" width="5.44140625" style="166" customWidth="1"/>
    <col min="5161" max="5377" width="5.44140625" style="166"/>
    <col min="5378" max="5378" width="13.44140625" style="166" customWidth="1"/>
    <col min="5379" max="5416" width="5.44140625" style="166" customWidth="1"/>
    <col min="5417" max="5633" width="5.44140625" style="166"/>
    <col min="5634" max="5634" width="13.44140625" style="166" customWidth="1"/>
    <col min="5635" max="5672" width="5.44140625" style="166" customWidth="1"/>
    <col min="5673" max="5889" width="5.44140625" style="166"/>
    <col min="5890" max="5890" width="13.44140625" style="166" customWidth="1"/>
    <col min="5891" max="5928" width="5.44140625" style="166" customWidth="1"/>
    <col min="5929" max="6145" width="5.44140625" style="166"/>
    <col min="6146" max="6146" width="13.44140625" style="166" customWidth="1"/>
    <col min="6147" max="6184" width="5.44140625" style="166" customWidth="1"/>
    <col min="6185" max="6401" width="5.44140625" style="166"/>
    <col min="6402" max="6402" width="13.44140625" style="166" customWidth="1"/>
    <col min="6403" max="6440" width="5.44140625" style="166" customWidth="1"/>
    <col min="6441" max="6657" width="5.44140625" style="166"/>
    <col min="6658" max="6658" width="13.44140625" style="166" customWidth="1"/>
    <col min="6659" max="6696" width="5.44140625" style="166" customWidth="1"/>
    <col min="6697" max="6913" width="5.44140625" style="166"/>
    <col min="6914" max="6914" width="13.44140625" style="166" customWidth="1"/>
    <col min="6915" max="6952" width="5.44140625" style="166" customWidth="1"/>
    <col min="6953" max="7169" width="5.44140625" style="166"/>
    <col min="7170" max="7170" width="13.44140625" style="166" customWidth="1"/>
    <col min="7171" max="7208" width="5.44140625" style="166" customWidth="1"/>
    <col min="7209" max="7425" width="5.44140625" style="166"/>
    <col min="7426" max="7426" width="13.44140625" style="166" customWidth="1"/>
    <col min="7427" max="7464" width="5.44140625" style="166" customWidth="1"/>
    <col min="7465" max="7681" width="5.44140625" style="166"/>
    <col min="7682" max="7682" width="13.44140625" style="166" customWidth="1"/>
    <col min="7683" max="7720" width="5.44140625" style="166" customWidth="1"/>
    <col min="7721" max="7937" width="5.44140625" style="166"/>
    <col min="7938" max="7938" width="13.44140625" style="166" customWidth="1"/>
    <col min="7939" max="7976" width="5.44140625" style="166" customWidth="1"/>
    <col min="7977" max="8193" width="5.44140625" style="166"/>
    <col min="8194" max="8194" width="13.44140625" style="166" customWidth="1"/>
    <col min="8195" max="8232" width="5.44140625" style="166" customWidth="1"/>
    <col min="8233" max="8449" width="5.44140625" style="166"/>
    <col min="8450" max="8450" width="13.44140625" style="166" customWidth="1"/>
    <col min="8451" max="8488" width="5.44140625" style="166" customWidth="1"/>
    <col min="8489" max="8705" width="5.44140625" style="166"/>
    <col min="8706" max="8706" width="13.44140625" style="166" customWidth="1"/>
    <col min="8707" max="8744" width="5.44140625" style="166" customWidth="1"/>
    <col min="8745" max="8961" width="5.44140625" style="166"/>
    <col min="8962" max="8962" width="13.44140625" style="166" customWidth="1"/>
    <col min="8963" max="9000" width="5.44140625" style="166" customWidth="1"/>
    <col min="9001" max="9217" width="5.44140625" style="166"/>
    <col min="9218" max="9218" width="13.44140625" style="166" customWidth="1"/>
    <col min="9219" max="9256" width="5.44140625" style="166" customWidth="1"/>
    <col min="9257" max="9473" width="5.44140625" style="166"/>
    <col min="9474" max="9474" width="13.44140625" style="166" customWidth="1"/>
    <col min="9475" max="9512" width="5.44140625" style="166" customWidth="1"/>
    <col min="9513" max="9729" width="5.44140625" style="166"/>
    <col min="9730" max="9730" width="13.44140625" style="166" customWidth="1"/>
    <col min="9731" max="9768" width="5.44140625" style="166" customWidth="1"/>
    <col min="9769" max="9985" width="5.44140625" style="166"/>
    <col min="9986" max="9986" width="13.44140625" style="166" customWidth="1"/>
    <col min="9987" max="10024" width="5.44140625" style="166" customWidth="1"/>
    <col min="10025" max="10241" width="5.44140625" style="166"/>
    <col min="10242" max="10242" width="13.44140625" style="166" customWidth="1"/>
    <col min="10243" max="10280" width="5.44140625" style="166" customWidth="1"/>
    <col min="10281" max="10497" width="5.44140625" style="166"/>
    <col min="10498" max="10498" width="13.44140625" style="166" customWidth="1"/>
    <col min="10499" max="10536" width="5.44140625" style="166" customWidth="1"/>
    <col min="10537" max="10753" width="5.44140625" style="166"/>
    <col min="10754" max="10754" width="13.44140625" style="166" customWidth="1"/>
    <col min="10755" max="10792" width="5.44140625" style="166" customWidth="1"/>
    <col min="10793" max="11009" width="5.44140625" style="166"/>
    <col min="11010" max="11010" width="13.44140625" style="166" customWidth="1"/>
    <col min="11011" max="11048" width="5.44140625" style="166" customWidth="1"/>
    <col min="11049" max="11265" width="5.44140625" style="166"/>
    <col min="11266" max="11266" width="13.44140625" style="166" customWidth="1"/>
    <col min="11267" max="11304" width="5.44140625" style="166" customWidth="1"/>
    <col min="11305" max="11521" width="5.44140625" style="166"/>
    <col min="11522" max="11522" width="13.44140625" style="166" customWidth="1"/>
    <col min="11523" max="11560" width="5.44140625" style="166" customWidth="1"/>
    <col min="11561" max="11777" width="5.44140625" style="166"/>
    <col min="11778" max="11778" width="13.44140625" style="166" customWidth="1"/>
    <col min="11779" max="11816" width="5.44140625" style="166" customWidth="1"/>
    <col min="11817" max="12033" width="5.44140625" style="166"/>
    <col min="12034" max="12034" width="13.44140625" style="166" customWidth="1"/>
    <col min="12035" max="12072" width="5.44140625" style="166" customWidth="1"/>
    <col min="12073" max="12289" width="5.44140625" style="166"/>
    <col min="12290" max="12290" width="13.44140625" style="166" customWidth="1"/>
    <col min="12291" max="12328" width="5.44140625" style="166" customWidth="1"/>
    <col min="12329" max="12545" width="5.44140625" style="166"/>
    <col min="12546" max="12546" width="13.44140625" style="166" customWidth="1"/>
    <col min="12547" max="12584" width="5.44140625" style="166" customWidth="1"/>
    <col min="12585" max="12801" width="5.44140625" style="166"/>
    <col min="12802" max="12802" width="13.44140625" style="166" customWidth="1"/>
    <col min="12803" max="12840" width="5.44140625" style="166" customWidth="1"/>
    <col min="12841" max="13057" width="5.44140625" style="166"/>
    <col min="13058" max="13058" width="13.44140625" style="166" customWidth="1"/>
    <col min="13059" max="13096" width="5.44140625" style="166" customWidth="1"/>
    <col min="13097" max="13313" width="5.44140625" style="166"/>
    <col min="13314" max="13314" width="13.44140625" style="166" customWidth="1"/>
    <col min="13315" max="13352" width="5.44140625" style="166" customWidth="1"/>
    <col min="13353" max="13569" width="5.44140625" style="166"/>
    <col min="13570" max="13570" width="13.44140625" style="166" customWidth="1"/>
    <col min="13571" max="13608" width="5.44140625" style="166" customWidth="1"/>
    <col min="13609" max="13825" width="5.44140625" style="166"/>
    <col min="13826" max="13826" width="13.44140625" style="166" customWidth="1"/>
    <col min="13827" max="13864" width="5.44140625" style="166" customWidth="1"/>
    <col min="13865" max="14081" width="5.44140625" style="166"/>
    <col min="14082" max="14082" width="13.44140625" style="166" customWidth="1"/>
    <col min="14083" max="14120" width="5.44140625" style="166" customWidth="1"/>
    <col min="14121" max="14337" width="5.44140625" style="166"/>
    <col min="14338" max="14338" width="13.44140625" style="166" customWidth="1"/>
    <col min="14339" max="14376" width="5.44140625" style="166" customWidth="1"/>
    <col min="14377" max="14593" width="5.44140625" style="166"/>
    <col min="14594" max="14594" width="13.44140625" style="166" customWidth="1"/>
    <col min="14595" max="14632" width="5.44140625" style="166" customWidth="1"/>
    <col min="14633" max="14849" width="5.44140625" style="166"/>
    <col min="14850" max="14850" width="13.44140625" style="166" customWidth="1"/>
    <col min="14851" max="14888" width="5.44140625" style="166" customWidth="1"/>
    <col min="14889" max="15105" width="5.44140625" style="166"/>
    <col min="15106" max="15106" width="13.44140625" style="166" customWidth="1"/>
    <col min="15107" max="15144" width="5.44140625" style="166" customWidth="1"/>
    <col min="15145" max="15361" width="5.44140625" style="166"/>
    <col min="15362" max="15362" width="13.44140625" style="166" customWidth="1"/>
    <col min="15363" max="15400" width="5.44140625" style="166" customWidth="1"/>
    <col min="15401" max="15617" width="5.44140625" style="166"/>
    <col min="15618" max="15618" width="13.44140625" style="166" customWidth="1"/>
    <col min="15619" max="15656" width="5.44140625" style="166" customWidth="1"/>
    <col min="15657" max="15873" width="5.44140625" style="166"/>
    <col min="15874" max="15874" width="13.44140625" style="166" customWidth="1"/>
    <col min="15875" max="15912" width="5.44140625" style="166" customWidth="1"/>
    <col min="15913" max="16129" width="5.44140625" style="166"/>
    <col min="16130" max="16130" width="13.44140625" style="166" customWidth="1"/>
    <col min="16131" max="16168" width="5.44140625" style="166" customWidth="1"/>
    <col min="16169" max="16384" width="5.44140625" style="166"/>
  </cols>
  <sheetData>
    <row r="1" spans="2:51" ht="24" customHeight="1" x14ac:dyDescent="0.6">
      <c r="B1" s="202" t="s">
        <v>61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</row>
    <row r="2" spans="2:51" ht="24" customHeight="1" x14ac:dyDescent="0.6">
      <c r="B2" s="317" t="s">
        <v>62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</row>
    <row r="3" spans="2:51" ht="24.9" customHeight="1" x14ac:dyDescent="0.9">
      <c r="B3" s="318" t="s">
        <v>73</v>
      </c>
      <c r="C3" s="318"/>
      <c r="D3" s="318"/>
      <c r="E3" s="320"/>
      <c r="F3" s="320"/>
      <c r="G3" s="320"/>
      <c r="H3" s="320"/>
      <c r="I3" s="320"/>
      <c r="J3" s="320"/>
      <c r="K3" s="271" t="s">
        <v>74</v>
      </c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267" t="s">
        <v>75</v>
      </c>
      <c r="AE3" s="268"/>
      <c r="AF3" s="268"/>
      <c r="AG3" s="268"/>
      <c r="AH3" s="268"/>
      <c r="AI3" s="268"/>
      <c r="AJ3" s="268"/>
      <c r="AK3" s="268"/>
      <c r="AL3" s="269"/>
    </row>
    <row r="4" spans="2:51" ht="24.9" customHeight="1" x14ac:dyDescent="0.95">
      <c r="B4" s="319" t="s">
        <v>76</v>
      </c>
      <c r="C4" s="319"/>
      <c r="D4" s="319"/>
      <c r="E4" s="321"/>
      <c r="F4" s="321"/>
      <c r="G4" s="321"/>
      <c r="H4" s="321"/>
      <c r="I4" s="321"/>
      <c r="J4" s="321"/>
      <c r="K4" s="274" t="s">
        <v>77</v>
      </c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276"/>
      <c r="AD4" s="270" t="s">
        <v>78</v>
      </c>
      <c r="AE4" s="270"/>
      <c r="AF4" s="270"/>
      <c r="AG4" s="270" t="s">
        <v>79</v>
      </c>
      <c r="AH4" s="270"/>
      <c r="AI4" s="270"/>
      <c r="AJ4" s="270" t="s">
        <v>80</v>
      </c>
      <c r="AK4" s="270"/>
      <c r="AL4" s="270"/>
      <c r="AQ4" s="167"/>
      <c r="AR4" s="167"/>
      <c r="AS4" s="167"/>
      <c r="AT4" s="167"/>
      <c r="AU4" s="167"/>
      <c r="AV4" s="167"/>
      <c r="AW4" s="167"/>
      <c r="AX4" s="167"/>
      <c r="AY4" s="167"/>
    </row>
    <row r="5" spans="2:51" ht="24.9" customHeight="1" x14ac:dyDescent="0.95">
      <c r="B5" s="319" t="s">
        <v>92</v>
      </c>
      <c r="C5" s="319"/>
      <c r="D5" s="319"/>
      <c r="E5" s="321"/>
      <c r="F5" s="321"/>
      <c r="G5" s="321"/>
      <c r="H5" s="321"/>
      <c r="I5" s="321"/>
      <c r="J5" s="322"/>
      <c r="K5" s="279" t="s">
        <v>81</v>
      </c>
      <c r="L5" s="279"/>
      <c r="M5" s="280"/>
      <c r="N5" s="280"/>
      <c r="O5" s="280"/>
      <c r="P5" s="280"/>
      <c r="Q5" s="280"/>
      <c r="R5" s="280"/>
      <c r="S5" s="168"/>
      <c r="T5" s="169"/>
      <c r="U5" s="169"/>
      <c r="V5" s="281" t="s">
        <v>82</v>
      </c>
      <c r="W5" s="281"/>
      <c r="X5" s="169"/>
      <c r="Y5" s="169"/>
      <c r="Z5" s="169"/>
      <c r="AA5" s="281" t="s">
        <v>83</v>
      </c>
      <c r="AB5" s="281"/>
      <c r="AC5" s="170"/>
      <c r="AD5" s="283"/>
      <c r="AE5" s="283"/>
      <c r="AF5" s="283"/>
      <c r="AG5" s="283"/>
      <c r="AH5" s="283"/>
      <c r="AI5" s="283"/>
      <c r="AJ5" s="283"/>
      <c r="AK5" s="283"/>
      <c r="AL5" s="283"/>
      <c r="AQ5" s="167"/>
      <c r="AR5" s="167"/>
      <c r="AS5" s="167"/>
      <c r="AT5" s="167"/>
      <c r="AU5" s="167"/>
      <c r="AV5" s="167"/>
      <c r="AW5" s="167"/>
      <c r="AX5" s="167"/>
      <c r="AY5" s="167"/>
    </row>
    <row r="6" spans="2:51" ht="24.9" customHeight="1" x14ac:dyDescent="0.6">
      <c r="B6" s="277"/>
      <c r="C6" s="278"/>
      <c r="D6" s="278"/>
      <c r="E6" s="278"/>
      <c r="F6" s="278"/>
      <c r="G6" s="278"/>
      <c r="H6" s="278"/>
      <c r="I6" s="278"/>
      <c r="J6" s="278"/>
      <c r="K6" s="284" t="s">
        <v>84</v>
      </c>
      <c r="L6" s="284"/>
      <c r="M6" s="285"/>
      <c r="N6" s="285"/>
      <c r="O6" s="285"/>
      <c r="P6" s="285"/>
      <c r="Q6" s="285"/>
      <c r="R6" s="285"/>
      <c r="S6" s="171"/>
      <c r="T6" s="172"/>
      <c r="U6" s="172"/>
      <c r="V6" s="282"/>
      <c r="W6" s="282"/>
      <c r="X6" s="172"/>
      <c r="Y6" s="172"/>
      <c r="Z6" s="172"/>
      <c r="AA6" s="282"/>
      <c r="AB6" s="282"/>
      <c r="AC6" s="173"/>
      <c r="AD6" s="283"/>
      <c r="AE6" s="283"/>
      <c r="AF6" s="283"/>
      <c r="AG6" s="283"/>
      <c r="AH6" s="283"/>
      <c r="AI6" s="283"/>
      <c r="AJ6" s="283"/>
      <c r="AK6" s="283"/>
      <c r="AL6" s="283"/>
    </row>
    <row r="7" spans="2:51" ht="24.9" customHeight="1" x14ac:dyDescent="0.7">
      <c r="B7" s="295"/>
      <c r="C7" s="296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7"/>
      <c r="AI7" s="304" t="s">
        <v>85</v>
      </c>
      <c r="AJ7" s="304"/>
      <c r="AK7" s="304"/>
      <c r="AL7" s="304"/>
    </row>
    <row r="8" spans="2:51" s="175" customFormat="1" ht="24.9" customHeight="1" x14ac:dyDescent="0.55000000000000004">
      <c r="B8" s="298"/>
      <c r="C8" s="299"/>
      <c r="D8" s="299"/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300"/>
      <c r="AI8" s="305"/>
      <c r="AJ8" s="305"/>
      <c r="AK8" s="305"/>
      <c r="AL8" s="305"/>
      <c r="AM8" s="174"/>
      <c r="AN8" s="174"/>
    </row>
    <row r="9" spans="2:51" s="175" customFormat="1" ht="24.9" customHeight="1" x14ac:dyDescent="0.55000000000000004">
      <c r="B9" s="298"/>
      <c r="C9" s="299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299"/>
      <c r="W9" s="299"/>
      <c r="X9" s="299"/>
      <c r="Y9" s="299"/>
      <c r="Z9" s="299"/>
      <c r="AA9" s="299"/>
      <c r="AB9" s="299"/>
      <c r="AC9" s="299"/>
      <c r="AD9" s="299"/>
      <c r="AE9" s="299"/>
      <c r="AF9" s="299"/>
      <c r="AG9" s="299"/>
      <c r="AH9" s="300"/>
      <c r="AI9" s="305"/>
      <c r="AJ9" s="305"/>
      <c r="AK9" s="305"/>
      <c r="AL9" s="305"/>
      <c r="AM9" s="176"/>
      <c r="AN9" s="176"/>
    </row>
    <row r="10" spans="2:51" s="175" customFormat="1" ht="24.9" customHeight="1" x14ac:dyDescent="0.55000000000000004">
      <c r="B10" s="298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  <c r="Y10" s="299"/>
      <c r="Z10" s="299"/>
      <c r="AA10" s="299"/>
      <c r="AB10" s="299"/>
      <c r="AC10" s="299"/>
      <c r="AD10" s="299"/>
      <c r="AE10" s="299"/>
      <c r="AF10" s="299"/>
      <c r="AG10" s="299"/>
      <c r="AH10" s="300"/>
      <c r="AI10" s="305"/>
      <c r="AJ10" s="305"/>
      <c r="AK10" s="305"/>
      <c r="AL10" s="305"/>
      <c r="AM10" s="176"/>
      <c r="AN10" s="176"/>
    </row>
    <row r="11" spans="2:51" s="175" customFormat="1" ht="24.9" customHeight="1" x14ac:dyDescent="0.55000000000000004">
      <c r="B11" s="298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  <c r="P11" s="299"/>
      <c r="Q11" s="299"/>
      <c r="R11" s="299"/>
      <c r="S11" s="299"/>
      <c r="T11" s="299"/>
      <c r="U11" s="299"/>
      <c r="V11" s="299"/>
      <c r="W11" s="299"/>
      <c r="X11" s="299"/>
      <c r="Y11" s="299"/>
      <c r="Z11" s="299"/>
      <c r="AA11" s="299"/>
      <c r="AB11" s="299"/>
      <c r="AC11" s="299"/>
      <c r="AD11" s="299"/>
      <c r="AE11" s="299"/>
      <c r="AF11" s="299"/>
      <c r="AG11" s="299"/>
      <c r="AH11" s="300"/>
      <c r="AI11" s="305" t="s">
        <v>86</v>
      </c>
      <c r="AJ11" s="305"/>
      <c r="AK11" s="305"/>
      <c r="AL11" s="305"/>
      <c r="AM11" s="176"/>
      <c r="AN11" s="176"/>
    </row>
    <row r="12" spans="2:51" s="175" customFormat="1" ht="24.9" customHeight="1" x14ac:dyDescent="0.55000000000000004">
      <c r="B12" s="298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  <c r="Z12" s="299"/>
      <c r="AA12" s="299"/>
      <c r="AB12" s="299"/>
      <c r="AC12" s="299"/>
      <c r="AD12" s="299"/>
      <c r="AE12" s="299"/>
      <c r="AF12" s="299"/>
      <c r="AG12" s="299"/>
      <c r="AH12" s="300"/>
      <c r="AI12" s="305"/>
      <c r="AJ12" s="305"/>
      <c r="AK12" s="305"/>
      <c r="AL12" s="305"/>
      <c r="AM12" s="176"/>
      <c r="AN12" s="176"/>
    </row>
    <row r="13" spans="2:51" ht="24.9" customHeight="1" x14ac:dyDescent="0.6">
      <c r="B13" s="298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  <c r="Z13" s="299"/>
      <c r="AA13" s="299"/>
      <c r="AB13" s="299"/>
      <c r="AC13" s="299"/>
      <c r="AD13" s="299"/>
      <c r="AE13" s="299"/>
      <c r="AF13" s="299"/>
      <c r="AG13" s="299"/>
      <c r="AH13" s="300"/>
      <c r="AI13" s="305"/>
      <c r="AJ13" s="305"/>
      <c r="AK13" s="305"/>
      <c r="AL13" s="305"/>
    </row>
    <row r="14" spans="2:51" ht="24.9" customHeight="1" x14ac:dyDescent="0.6">
      <c r="B14" s="298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299"/>
      <c r="AA14" s="299"/>
      <c r="AB14" s="299"/>
      <c r="AC14" s="299"/>
      <c r="AD14" s="299"/>
      <c r="AE14" s="299"/>
      <c r="AF14" s="299"/>
      <c r="AG14" s="299"/>
      <c r="AH14" s="300"/>
      <c r="AI14" s="305"/>
      <c r="AJ14" s="305"/>
      <c r="AK14" s="305"/>
      <c r="AL14" s="305"/>
    </row>
    <row r="15" spans="2:51" ht="24.9" customHeight="1" x14ac:dyDescent="0.6">
      <c r="B15" s="298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  <c r="AH15" s="300"/>
      <c r="AI15" s="306" t="s">
        <v>87</v>
      </c>
      <c r="AJ15" s="306"/>
      <c r="AK15" s="306"/>
      <c r="AL15" s="306"/>
    </row>
    <row r="16" spans="2:51" ht="24.9" customHeight="1" x14ac:dyDescent="0.6">
      <c r="B16" s="298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Y16" s="299"/>
      <c r="Z16" s="299"/>
      <c r="AA16" s="299"/>
      <c r="AB16" s="299"/>
      <c r="AC16" s="299"/>
      <c r="AD16" s="299"/>
      <c r="AE16" s="299"/>
      <c r="AF16" s="299"/>
      <c r="AG16" s="299"/>
      <c r="AH16" s="300"/>
      <c r="AI16" s="306"/>
      <c r="AJ16" s="306"/>
      <c r="AK16" s="306"/>
      <c r="AL16" s="306"/>
    </row>
    <row r="17" spans="2:40" ht="24.9" customHeight="1" x14ac:dyDescent="0.6">
      <c r="B17" s="298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  <c r="P17" s="299"/>
      <c r="Q17" s="299"/>
      <c r="R17" s="299"/>
      <c r="S17" s="299"/>
      <c r="T17" s="299"/>
      <c r="U17" s="299"/>
      <c r="V17" s="299"/>
      <c r="W17" s="299"/>
      <c r="X17" s="299"/>
      <c r="Y17" s="299"/>
      <c r="Z17" s="299"/>
      <c r="AA17" s="299"/>
      <c r="AB17" s="299"/>
      <c r="AC17" s="299"/>
      <c r="AD17" s="299"/>
      <c r="AE17" s="299"/>
      <c r="AF17" s="299"/>
      <c r="AG17" s="299"/>
      <c r="AH17" s="300"/>
      <c r="AI17" s="306"/>
      <c r="AJ17" s="306"/>
      <c r="AK17" s="306"/>
      <c r="AL17" s="306"/>
    </row>
    <row r="18" spans="2:40" ht="24.9" customHeight="1" x14ac:dyDescent="0.6">
      <c r="B18" s="298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Y18" s="299"/>
      <c r="Z18" s="299"/>
      <c r="AA18" s="299"/>
      <c r="AB18" s="299"/>
      <c r="AC18" s="299"/>
      <c r="AD18" s="299"/>
      <c r="AE18" s="299"/>
      <c r="AF18" s="299"/>
      <c r="AG18" s="299"/>
      <c r="AH18" s="300"/>
      <c r="AI18" s="306"/>
      <c r="AJ18" s="306"/>
      <c r="AK18" s="306"/>
      <c r="AL18" s="306"/>
    </row>
    <row r="19" spans="2:40" ht="24.9" customHeight="1" x14ac:dyDescent="0.6">
      <c r="B19" s="298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9"/>
      <c r="AE19" s="299"/>
      <c r="AF19" s="299"/>
      <c r="AG19" s="299"/>
      <c r="AH19" s="300"/>
      <c r="AI19" s="270" t="s">
        <v>88</v>
      </c>
      <c r="AJ19" s="270"/>
      <c r="AK19" s="270"/>
      <c r="AL19" s="270"/>
    </row>
    <row r="20" spans="2:40" ht="24.9" customHeight="1" x14ac:dyDescent="0.6">
      <c r="B20" s="298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  <c r="Z20" s="299"/>
      <c r="AA20" s="299"/>
      <c r="AB20" s="299"/>
      <c r="AC20" s="299"/>
      <c r="AD20" s="299"/>
      <c r="AE20" s="299"/>
      <c r="AF20" s="299"/>
      <c r="AG20" s="299"/>
      <c r="AH20" s="300"/>
      <c r="AI20" s="307" t="s">
        <v>89</v>
      </c>
      <c r="AJ20" s="307"/>
      <c r="AK20" s="307"/>
      <c r="AL20" s="307"/>
    </row>
    <row r="21" spans="2:40" ht="24.9" customHeight="1" x14ac:dyDescent="0.6">
      <c r="B21" s="298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  <c r="Z21" s="299"/>
      <c r="AA21" s="299"/>
      <c r="AB21" s="299"/>
      <c r="AC21" s="299"/>
      <c r="AD21" s="299"/>
      <c r="AE21" s="299"/>
      <c r="AF21" s="299"/>
      <c r="AG21" s="299"/>
      <c r="AH21" s="300"/>
      <c r="AI21" s="308"/>
      <c r="AJ21" s="309"/>
      <c r="AK21" s="309"/>
      <c r="AL21" s="310"/>
    </row>
    <row r="22" spans="2:40" ht="24.9" customHeight="1" x14ac:dyDescent="0.6">
      <c r="B22" s="298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  <c r="P22" s="299"/>
      <c r="Q22" s="299"/>
      <c r="R22" s="299"/>
      <c r="S22" s="299"/>
      <c r="T22" s="299"/>
      <c r="U22" s="299"/>
      <c r="V22" s="299"/>
      <c r="W22" s="299"/>
      <c r="X22" s="299"/>
      <c r="Y22" s="299"/>
      <c r="Z22" s="299"/>
      <c r="AA22" s="299"/>
      <c r="AB22" s="299"/>
      <c r="AC22" s="299"/>
      <c r="AD22" s="299"/>
      <c r="AE22" s="299"/>
      <c r="AF22" s="299"/>
      <c r="AG22" s="299"/>
      <c r="AH22" s="300"/>
      <c r="AI22" s="311"/>
      <c r="AJ22" s="312"/>
      <c r="AK22" s="312"/>
      <c r="AL22" s="313"/>
    </row>
    <row r="23" spans="2:40" ht="24.9" customHeight="1" x14ac:dyDescent="0.6">
      <c r="B23" s="298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  <c r="P23" s="299"/>
      <c r="Q23" s="299"/>
      <c r="R23" s="299"/>
      <c r="S23" s="299"/>
      <c r="T23" s="299"/>
      <c r="U23" s="299"/>
      <c r="V23" s="299"/>
      <c r="W23" s="299"/>
      <c r="X23" s="299"/>
      <c r="Y23" s="299"/>
      <c r="Z23" s="299"/>
      <c r="AA23" s="299"/>
      <c r="AB23" s="299"/>
      <c r="AC23" s="299"/>
      <c r="AD23" s="299"/>
      <c r="AE23" s="299"/>
      <c r="AF23" s="299"/>
      <c r="AG23" s="299"/>
      <c r="AH23" s="300"/>
      <c r="AI23" s="314"/>
      <c r="AJ23" s="315"/>
      <c r="AK23" s="315"/>
      <c r="AL23" s="316"/>
    </row>
    <row r="24" spans="2:40" ht="24.9" customHeight="1" x14ac:dyDescent="0.7">
      <c r="B24" s="298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  <c r="AA24" s="299"/>
      <c r="AB24" s="299"/>
      <c r="AC24" s="299"/>
      <c r="AD24" s="299"/>
      <c r="AE24" s="299"/>
      <c r="AF24" s="299"/>
      <c r="AG24" s="299"/>
      <c r="AH24" s="300"/>
      <c r="AI24" s="304" t="s">
        <v>90</v>
      </c>
      <c r="AJ24" s="304"/>
      <c r="AK24" s="304"/>
      <c r="AL24" s="304"/>
    </row>
    <row r="25" spans="2:40" ht="24.9" customHeight="1" x14ac:dyDescent="0.6">
      <c r="B25" s="298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Y25" s="299"/>
      <c r="Z25" s="299"/>
      <c r="AA25" s="299"/>
      <c r="AB25" s="299"/>
      <c r="AC25" s="299"/>
      <c r="AD25" s="299"/>
      <c r="AE25" s="299"/>
      <c r="AF25" s="299"/>
      <c r="AG25" s="299"/>
      <c r="AH25" s="300"/>
      <c r="AI25" s="308"/>
      <c r="AJ25" s="309"/>
      <c r="AK25" s="309"/>
      <c r="AL25" s="310"/>
    </row>
    <row r="26" spans="2:40" ht="24.9" customHeight="1" x14ac:dyDescent="0.6">
      <c r="B26" s="298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  <c r="P26" s="299"/>
      <c r="Q26" s="299"/>
      <c r="R26" s="299"/>
      <c r="S26" s="299"/>
      <c r="T26" s="299"/>
      <c r="U26" s="299"/>
      <c r="V26" s="299"/>
      <c r="W26" s="299"/>
      <c r="X26" s="299"/>
      <c r="Y26" s="299"/>
      <c r="Z26" s="299"/>
      <c r="AA26" s="299"/>
      <c r="AB26" s="299"/>
      <c r="AC26" s="299"/>
      <c r="AD26" s="299"/>
      <c r="AE26" s="299"/>
      <c r="AF26" s="299"/>
      <c r="AG26" s="299"/>
      <c r="AH26" s="300"/>
      <c r="AI26" s="311"/>
      <c r="AJ26" s="312"/>
      <c r="AK26" s="312"/>
      <c r="AL26" s="313"/>
    </row>
    <row r="27" spans="2:40" ht="24.9" customHeight="1" x14ac:dyDescent="0.6">
      <c r="B27" s="298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299"/>
      <c r="AA27" s="299"/>
      <c r="AB27" s="299"/>
      <c r="AC27" s="299"/>
      <c r="AD27" s="299"/>
      <c r="AE27" s="299"/>
      <c r="AF27" s="299"/>
      <c r="AG27" s="299"/>
      <c r="AH27" s="300"/>
      <c r="AI27" s="314"/>
      <c r="AJ27" s="315"/>
      <c r="AK27" s="315"/>
      <c r="AL27" s="316"/>
    </row>
    <row r="28" spans="2:40" ht="24.9" customHeight="1" x14ac:dyDescent="0.7">
      <c r="B28" s="298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  <c r="P28" s="299"/>
      <c r="Q28" s="299"/>
      <c r="R28" s="299"/>
      <c r="S28" s="299"/>
      <c r="T28" s="299"/>
      <c r="U28" s="299"/>
      <c r="V28" s="299"/>
      <c r="W28" s="299"/>
      <c r="X28" s="299"/>
      <c r="Y28" s="299"/>
      <c r="Z28" s="299"/>
      <c r="AA28" s="299"/>
      <c r="AB28" s="299"/>
      <c r="AC28" s="299"/>
      <c r="AD28" s="299"/>
      <c r="AE28" s="299"/>
      <c r="AF28" s="299"/>
      <c r="AG28" s="299"/>
      <c r="AH28" s="300"/>
      <c r="AI28" s="304" t="s">
        <v>91</v>
      </c>
      <c r="AJ28" s="304"/>
      <c r="AK28" s="304"/>
      <c r="AL28" s="304"/>
    </row>
    <row r="29" spans="2:40" ht="24.9" customHeight="1" x14ac:dyDescent="0.6">
      <c r="B29" s="298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  <c r="P29" s="299"/>
      <c r="Q29" s="299"/>
      <c r="R29" s="299"/>
      <c r="S29" s="299"/>
      <c r="T29" s="299"/>
      <c r="U29" s="299"/>
      <c r="V29" s="299"/>
      <c r="W29" s="299"/>
      <c r="X29" s="299"/>
      <c r="Y29" s="299"/>
      <c r="Z29" s="299"/>
      <c r="AA29" s="299"/>
      <c r="AB29" s="299"/>
      <c r="AC29" s="299"/>
      <c r="AD29" s="299"/>
      <c r="AE29" s="299"/>
      <c r="AF29" s="299"/>
      <c r="AG29" s="299"/>
      <c r="AH29" s="300"/>
      <c r="AI29" s="308"/>
      <c r="AJ29" s="309"/>
      <c r="AK29" s="309"/>
      <c r="AL29" s="310"/>
    </row>
    <row r="30" spans="2:40" ht="24.9" customHeight="1" x14ac:dyDescent="0.6">
      <c r="B30" s="298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  <c r="P30" s="299"/>
      <c r="Q30" s="299"/>
      <c r="R30" s="299"/>
      <c r="S30" s="299"/>
      <c r="T30" s="299"/>
      <c r="U30" s="299"/>
      <c r="V30" s="299"/>
      <c r="W30" s="299"/>
      <c r="X30" s="299"/>
      <c r="Y30" s="299"/>
      <c r="Z30" s="299"/>
      <c r="AA30" s="299"/>
      <c r="AB30" s="299"/>
      <c r="AC30" s="299"/>
      <c r="AD30" s="299"/>
      <c r="AE30" s="299"/>
      <c r="AF30" s="299"/>
      <c r="AG30" s="299"/>
      <c r="AH30" s="300"/>
      <c r="AI30" s="311"/>
      <c r="AJ30" s="312"/>
      <c r="AK30" s="312"/>
      <c r="AL30" s="313"/>
    </row>
    <row r="31" spans="2:40" ht="24.9" customHeight="1" x14ac:dyDescent="0.6">
      <c r="B31" s="298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  <c r="P31" s="299"/>
      <c r="Q31" s="299"/>
      <c r="R31" s="299"/>
      <c r="S31" s="299"/>
      <c r="T31" s="299"/>
      <c r="U31" s="299"/>
      <c r="V31" s="299"/>
      <c r="W31" s="299"/>
      <c r="X31" s="299"/>
      <c r="Y31" s="299"/>
      <c r="Z31" s="299"/>
      <c r="AA31" s="299"/>
      <c r="AB31" s="299"/>
      <c r="AC31" s="299"/>
      <c r="AD31" s="299"/>
      <c r="AE31" s="299"/>
      <c r="AF31" s="299"/>
      <c r="AG31" s="299"/>
      <c r="AH31" s="300"/>
      <c r="AI31" s="314"/>
      <c r="AJ31" s="315"/>
      <c r="AK31" s="315"/>
      <c r="AL31" s="316"/>
    </row>
    <row r="32" spans="2:40" ht="24.9" customHeight="1" x14ac:dyDescent="0.6">
      <c r="B32" s="298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  <c r="P32" s="299"/>
      <c r="Q32" s="299"/>
      <c r="R32" s="299"/>
      <c r="S32" s="299"/>
      <c r="T32" s="299"/>
      <c r="U32" s="299"/>
      <c r="V32" s="299"/>
      <c r="W32" s="299"/>
      <c r="X32" s="299"/>
      <c r="Y32" s="299"/>
      <c r="Z32" s="299"/>
      <c r="AA32" s="299"/>
      <c r="AB32" s="299"/>
      <c r="AC32" s="299"/>
      <c r="AD32" s="299"/>
      <c r="AE32" s="299"/>
      <c r="AF32" s="299"/>
      <c r="AG32" s="299"/>
      <c r="AH32" s="300"/>
      <c r="AI32" s="306" t="s">
        <v>25</v>
      </c>
      <c r="AJ32" s="306"/>
      <c r="AK32" s="306"/>
      <c r="AL32" s="306"/>
      <c r="AM32" s="166"/>
      <c r="AN32" s="166"/>
    </row>
    <row r="33" spans="2:43" ht="24.9" customHeight="1" x14ac:dyDescent="0.6">
      <c r="B33" s="298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299"/>
      <c r="AB33" s="299"/>
      <c r="AC33" s="299"/>
      <c r="AD33" s="299"/>
      <c r="AE33" s="299"/>
      <c r="AF33" s="299"/>
      <c r="AG33" s="299"/>
      <c r="AH33" s="300"/>
      <c r="AI33" s="286"/>
      <c r="AJ33" s="287"/>
      <c r="AK33" s="287"/>
      <c r="AL33" s="288"/>
      <c r="AM33" s="166"/>
      <c r="AN33" s="166"/>
    </row>
    <row r="34" spans="2:43" ht="24.9" customHeight="1" x14ac:dyDescent="0.6">
      <c r="B34" s="298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  <c r="P34" s="299"/>
      <c r="Q34" s="299"/>
      <c r="R34" s="299"/>
      <c r="S34" s="299"/>
      <c r="T34" s="299"/>
      <c r="U34" s="299"/>
      <c r="V34" s="299"/>
      <c r="W34" s="299"/>
      <c r="X34" s="299"/>
      <c r="Y34" s="299"/>
      <c r="Z34" s="299"/>
      <c r="AA34" s="299"/>
      <c r="AB34" s="299"/>
      <c r="AC34" s="299"/>
      <c r="AD34" s="299"/>
      <c r="AE34" s="299"/>
      <c r="AF34" s="299"/>
      <c r="AG34" s="299"/>
      <c r="AH34" s="300"/>
      <c r="AI34" s="289"/>
      <c r="AJ34" s="290"/>
      <c r="AK34" s="290"/>
      <c r="AL34" s="291"/>
      <c r="AM34" s="166"/>
      <c r="AN34" s="166"/>
    </row>
    <row r="35" spans="2:43" ht="24.9" customHeight="1" x14ac:dyDescent="0.6">
      <c r="B35" s="301"/>
      <c r="C35" s="302"/>
      <c r="D35" s="302"/>
      <c r="E35" s="302"/>
      <c r="F35" s="302"/>
      <c r="G35" s="302"/>
      <c r="H35" s="302"/>
      <c r="I35" s="302"/>
      <c r="J35" s="302"/>
      <c r="K35" s="302"/>
      <c r="L35" s="302"/>
      <c r="M35" s="302"/>
      <c r="N35" s="302"/>
      <c r="O35" s="302"/>
      <c r="P35" s="302"/>
      <c r="Q35" s="302"/>
      <c r="R35" s="302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  <c r="AC35" s="302"/>
      <c r="AD35" s="302"/>
      <c r="AE35" s="302"/>
      <c r="AF35" s="302"/>
      <c r="AG35" s="302"/>
      <c r="AH35" s="303"/>
      <c r="AI35" s="292"/>
      <c r="AJ35" s="293"/>
      <c r="AK35" s="293"/>
      <c r="AL35" s="294"/>
      <c r="AM35" s="166"/>
      <c r="AN35" s="166"/>
    </row>
    <row r="36" spans="2:43" ht="24.9" customHeight="1" x14ac:dyDescent="0.6">
      <c r="AL36" s="166"/>
      <c r="AM36" s="166"/>
      <c r="AN36" s="166"/>
    </row>
    <row r="37" spans="2:43" ht="24.9" customHeight="1" x14ac:dyDescent="0.6">
      <c r="AL37" s="166"/>
      <c r="AM37" s="166"/>
      <c r="AN37" s="166"/>
    </row>
    <row r="38" spans="2:43" ht="24.9" customHeight="1" x14ac:dyDescent="0.6">
      <c r="AL38" s="166"/>
      <c r="AM38" s="166"/>
      <c r="AN38" s="166"/>
    </row>
    <row r="39" spans="2:43" ht="24" customHeight="1" x14ac:dyDescent="0.6">
      <c r="AL39" s="166"/>
      <c r="AM39" s="166"/>
      <c r="AN39" s="166"/>
    </row>
    <row r="40" spans="2:43" ht="24" customHeight="1" x14ac:dyDescent="0.6">
      <c r="AL40" s="166"/>
      <c r="AM40" s="166"/>
      <c r="AN40" s="166"/>
    </row>
    <row r="42" spans="2:43" s="177" customFormat="1" ht="24" customHeight="1" x14ac:dyDescent="0.5"/>
    <row r="43" spans="2:43" s="177" customFormat="1" ht="24" customHeight="1" x14ac:dyDescent="0.5"/>
    <row r="44" spans="2:43" ht="24" customHeight="1" x14ac:dyDescent="0.6"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</row>
    <row r="45" spans="2:43" ht="24" customHeight="1" x14ac:dyDescent="0.6"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</row>
    <row r="46" spans="2:43" ht="24" customHeight="1" x14ac:dyDescent="0.6"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</row>
    <row r="47" spans="2:43" ht="24" customHeight="1" x14ac:dyDescent="0.6"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</row>
  </sheetData>
  <mergeCells count="40">
    <mergeCell ref="B1:V1"/>
    <mergeCell ref="B2:V2"/>
    <mergeCell ref="B3:D3"/>
    <mergeCell ref="B4:D4"/>
    <mergeCell ref="B5:D5"/>
    <mergeCell ref="E3:J3"/>
    <mergeCell ref="E4:J4"/>
    <mergeCell ref="E5:J5"/>
    <mergeCell ref="AI33:AL35"/>
    <mergeCell ref="B7:AH35"/>
    <mergeCell ref="AI7:AL7"/>
    <mergeCell ref="AI8:AL10"/>
    <mergeCell ref="AI11:AL11"/>
    <mergeCell ref="AI12:AL14"/>
    <mergeCell ref="AI15:AL15"/>
    <mergeCell ref="AI16:AL18"/>
    <mergeCell ref="AI19:AL19"/>
    <mergeCell ref="AI20:AL20"/>
    <mergeCell ref="AI21:AL23"/>
    <mergeCell ref="AI24:AL24"/>
    <mergeCell ref="AI25:AL27"/>
    <mergeCell ref="AI28:AL28"/>
    <mergeCell ref="AI29:AL31"/>
    <mergeCell ref="AI32:AL32"/>
    <mergeCell ref="AD5:AF6"/>
    <mergeCell ref="AG5:AI6"/>
    <mergeCell ref="AJ5:AL6"/>
    <mergeCell ref="K6:L6"/>
    <mergeCell ref="M6:R6"/>
    <mergeCell ref="B6:J6"/>
    <mergeCell ref="K5:L5"/>
    <mergeCell ref="M5:R5"/>
    <mergeCell ref="V5:W6"/>
    <mergeCell ref="AA5:AB6"/>
    <mergeCell ref="AD3:AL3"/>
    <mergeCell ref="AD4:AF4"/>
    <mergeCell ref="AG4:AI4"/>
    <mergeCell ref="AJ4:AL4"/>
    <mergeCell ref="K3:AC3"/>
    <mergeCell ref="K4:AC4"/>
  </mergeCells>
  <printOptions horizontalCentered="1" verticalCentered="1"/>
  <pageMargins left="0.39370078740157483" right="0.39370078740157483" top="0" bottom="0" header="0" footer="0"/>
  <pageSetup paperSize="9" scale="63" orientation="landscape" horizontalDpi="4294967294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V58"/>
  <sheetViews>
    <sheetView zoomScale="55" zoomScaleNormal="55" zoomScaleSheetLayoutView="75" workbookViewId="0">
      <selection activeCell="BK21" sqref="BK21"/>
    </sheetView>
  </sheetViews>
  <sheetFormatPr defaultColWidth="4.44140625" defaultRowHeight="13.2" x14ac:dyDescent="0.25"/>
  <cols>
    <col min="1" max="56" width="4.6640625" style="114" customWidth="1"/>
    <col min="57" max="16384" width="4.44140625" style="114"/>
  </cols>
  <sheetData>
    <row r="1" spans="1:100" ht="24.9" customHeight="1" x14ac:dyDescent="0.6">
      <c r="A1" s="202" t="s">
        <v>61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145"/>
      <c r="W1" s="329" t="s">
        <v>1</v>
      </c>
      <c r="X1" s="329"/>
      <c r="Y1" s="329"/>
      <c r="Z1" s="329"/>
      <c r="AA1" s="329"/>
      <c r="AB1" s="329"/>
      <c r="AC1" s="329"/>
      <c r="AD1" s="329"/>
      <c r="AE1" s="329"/>
      <c r="AF1" s="329"/>
      <c r="AG1" s="329"/>
      <c r="AH1" s="329"/>
      <c r="AI1" s="329"/>
      <c r="AJ1" s="330" t="s">
        <v>2</v>
      </c>
      <c r="AK1" s="330"/>
      <c r="AL1" s="330"/>
      <c r="AM1" s="330"/>
      <c r="AN1" s="330"/>
      <c r="AO1" s="330"/>
      <c r="AP1" s="330"/>
      <c r="AQ1" s="330"/>
      <c r="AR1" s="330"/>
      <c r="AS1" s="324" t="s">
        <v>21</v>
      </c>
      <c r="AT1" s="324"/>
      <c r="AU1" s="324"/>
      <c r="AV1" s="324"/>
      <c r="AW1" s="324" t="s">
        <v>22</v>
      </c>
      <c r="AX1" s="324"/>
      <c r="AY1" s="324"/>
      <c r="AZ1" s="324"/>
      <c r="BA1" s="324" t="s">
        <v>23</v>
      </c>
      <c r="BB1" s="324"/>
      <c r="BC1" s="324"/>
      <c r="BD1" s="324"/>
    </row>
    <row r="2" spans="1:100" ht="24.9" customHeight="1" x14ac:dyDescent="0.6">
      <c r="A2" s="317" t="s">
        <v>62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W2" s="323" t="s">
        <v>0</v>
      </c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30" t="s">
        <v>3</v>
      </c>
      <c r="AK2" s="330"/>
      <c r="AL2" s="330"/>
      <c r="AM2" s="330"/>
      <c r="AN2" s="330"/>
      <c r="AO2" s="330"/>
      <c r="AP2" s="330"/>
      <c r="AQ2" s="330"/>
      <c r="AR2" s="330"/>
      <c r="AS2" s="327"/>
      <c r="AT2" s="327"/>
      <c r="AU2" s="327"/>
      <c r="AV2" s="327"/>
      <c r="AW2" s="325"/>
      <c r="AX2" s="325"/>
      <c r="AY2" s="325"/>
      <c r="AZ2" s="325"/>
      <c r="BA2" s="325"/>
      <c r="BB2" s="325"/>
      <c r="BC2" s="325"/>
      <c r="BD2" s="325"/>
    </row>
    <row r="3" spans="1:100" ht="24.9" customHeight="1" x14ac:dyDescent="0.6">
      <c r="A3" s="115"/>
      <c r="W3" s="323" t="s">
        <v>64</v>
      </c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S3" s="328"/>
      <c r="AT3" s="328"/>
      <c r="AU3" s="328"/>
      <c r="AV3" s="328"/>
      <c r="AW3" s="326"/>
      <c r="AX3" s="326"/>
      <c r="AY3" s="326"/>
      <c r="AZ3" s="326"/>
      <c r="BA3" s="326"/>
      <c r="BB3" s="326"/>
      <c r="BC3" s="326"/>
      <c r="BD3" s="326"/>
      <c r="CU3" s="116"/>
      <c r="CV3" s="116"/>
    </row>
    <row r="4" spans="1:100" s="121" customFormat="1" ht="24.9" customHeight="1" x14ac:dyDescent="0.25">
      <c r="A4" s="117"/>
      <c r="B4" s="117"/>
      <c r="C4" s="117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7"/>
      <c r="AD4" s="117"/>
      <c r="AE4" s="117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7"/>
      <c r="BR4" s="117"/>
      <c r="BS4" s="117"/>
      <c r="BT4" s="117"/>
      <c r="BU4" s="117"/>
      <c r="BV4" s="117"/>
      <c r="BW4" s="117"/>
      <c r="BX4" s="117"/>
      <c r="BY4" s="117"/>
      <c r="BZ4" s="117"/>
      <c r="CA4" s="117"/>
      <c r="CB4" s="117"/>
      <c r="CC4" s="117"/>
      <c r="CD4" s="117"/>
      <c r="CE4" s="117"/>
      <c r="CF4" s="120"/>
      <c r="CG4" s="117"/>
      <c r="CH4" s="117"/>
      <c r="CI4" s="117"/>
      <c r="CJ4" s="117"/>
    </row>
    <row r="5" spans="1:100" s="121" customFormat="1" ht="24.9" customHeight="1" x14ac:dyDescent="0.25">
      <c r="A5" s="117"/>
      <c r="B5" s="117"/>
      <c r="C5" s="117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7"/>
      <c r="AD5" s="117"/>
      <c r="AE5" s="117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7"/>
      <c r="BR5" s="117"/>
      <c r="BS5" s="117"/>
      <c r="BT5" s="117"/>
      <c r="BU5" s="117"/>
      <c r="BV5" s="117"/>
      <c r="BW5" s="117"/>
      <c r="BX5" s="117"/>
      <c r="BY5" s="117"/>
      <c r="BZ5" s="117"/>
      <c r="CA5" s="117"/>
      <c r="CB5" s="117"/>
      <c r="CC5" s="117"/>
      <c r="CD5" s="117"/>
      <c r="CE5" s="117"/>
      <c r="CF5" s="117"/>
      <c r="CG5" s="117"/>
      <c r="CH5" s="117"/>
      <c r="CI5" s="117"/>
      <c r="CJ5" s="117"/>
    </row>
    <row r="6" spans="1:100" s="121" customFormat="1" ht="24.9" customHeight="1" x14ac:dyDescent="0.25">
      <c r="A6" s="117"/>
      <c r="B6" s="117"/>
      <c r="C6" s="117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7"/>
      <c r="AD6" s="117"/>
      <c r="AE6" s="117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7"/>
      <c r="BR6" s="117"/>
      <c r="BS6" s="117"/>
      <c r="BT6" s="117"/>
      <c r="BU6" s="117"/>
      <c r="BV6" s="122"/>
      <c r="BW6" s="122"/>
      <c r="BX6" s="122"/>
      <c r="BY6" s="122"/>
      <c r="BZ6" s="122"/>
      <c r="CA6" s="117"/>
      <c r="CB6" s="117"/>
      <c r="CC6" s="117"/>
      <c r="CD6" s="117"/>
      <c r="CE6" s="117"/>
      <c r="CF6" s="117"/>
      <c r="CG6" s="117"/>
      <c r="CH6" s="117"/>
      <c r="CI6" s="117"/>
      <c r="CJ6" s="117"/>
    </row>
    <row r="7" spans="1:100" s="121" customFormat="1" ht="24.9" customHeight="1" x14ac:dyDescent="0.25">
      <c r="A7" s="117"/>
      <c r="B7" s="117"/>
      <c r="C7" s="117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7"/>
      <c r="AD7" s="117"/>
      <c r="AE7" s="117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7"/>
      <c r="BR7" s="117"/>
      <c r="BS7" s="117"/>
      <c r="BT7" s="117"/>
      <c r="BU7" s="117"/>
      <c r="BV7" s="122"/>
      <c r="BW7" s="122"/>
      <c r="BX7" s="122"/>
      <c r="BY7" s="122"/>
      <c r="BZ7" s="122"/>
      <c r="CA7" s="117"/>
      <c r="CB7" s="117"/>
      <c r="CC7" s="117"/>
      <c r="CD7" s="117"/>
      <c r="CE7" s="117"/>
      <c r="CF7" s="117"/>
      <c r="CG7" s="117"/>
      <c r="CH7" s="117"/>
      <c r="CI7" s="117"/>
      <c r="CJ7" s="117"/>
    </row>
    <row r="8" spans="1:100" s="121" customFormat="1" ht="24.9" customHeight="1" x14ac:dyDescent="0.25"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4"/>
      <c r="BF8" s="124"/>
      <c r="BG8" s="124"/>
      <c r="BH8" s="124"/>
      <c r="BI8" s="124"/>
      <c r="BJ8" s="124"/>
      <c r="BK8" s="124"/>
      <c r="BL8" s="124"/>
      <c r="BM8" s="124"/>
      <c r="BN8" s="124"/>
      <c r="BO8" s="124"/>
      <c r="BP8" s="124"/>
    </row>
    <row r="9" spans="1:100" s="121" customFormat="1" ht="24.9" customHeight="1" x14ac:dyDescent="0.25"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4"/>
      <c r="AR9" s="124"/>
      <c r="AS9" s="124"/>
      <c r="AT9" s="124"/>
      <c r="AU9" s="124"/>
      <c r="AV9" s="124"/>
      <c r="AW9" s="124"/>
      <c r="AX9" s="124"/>
      <c r="AY9" s="124"/>
      <c r="AZ9" s="124"/>
      <c r="BA9" s="124"/>
      <c r="BB9" s="124"/>
      <c r="BC9" s="124"/>
      <c r="BD9" s="124"/>
      <c r="BE9" s="124"/>
      <c r="BF9" s="124"/>
      <c r="BG9" s="124"/>
      <c r="BH9" s="124"/>
      <c r="BI9" s="124"/>
      <c r="BJ9" s="124"/>
      <c r="BK9" s="124"/>
      <c r="BL9" s="124"/>
      <c r="BM9" s="124"/>
      <c r="BN9" s="124"/>
      <c r="BO9" s="124"/>
      <c r="BP9" s="124"/>
    </row>
    <row r="10" spans="1:100" ht="24.9" customHeight="1" x14ac:dyDescent="0.25">
      <c r="A10" s="125"/>
      <c r="B10" s="125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5"/>
      <c r="AD10" s="125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</row>
    <row r="11" spans="1:100" ht="24.9" customHeight="1" x14ac:dyDescent="0.3">
      <c r="A11" s="338"/>
      <c r="B11" s="338"/>
      <c r="C11" s="338"/>
      <c r="AC11" s="338"/>
      <c r="AD11" s="338"/>
      <c r="AE11" s="338"/>
    </row>
    <row r="12" spans="1:100" ht="24.9" customHeight="1" x14ac:dyDescent="0.3">
      <c r="A12" s="127"/>
      <c r="AC12" s="127"/>
    </row>
    <row r="13" spans="1:100" ht="24.9" customHeight="1" x14ac:dyDescent="0.25"/>
    <row r="14" spans="1:100" ht="24.9" customHeight="1" x14ac:dyDescent="0.25"/>
    <row r="15" spans="1:100" ht="24.9" customHeight="1" x14ac:dyDescent="0.25"/>
    <row r="16" spans="1:100" ht="24.9" customHeight="1" x14ac:dyDescent="0.25"/>
    <row r="17" spans="1:56" ht="24.9" customHeight="1" x14ac:dyDescent="0.25"/>
    <row r="18" spans="1:56" ht="24.9" customHeight="1" x14ac:dyDescent="0.25"/>
    <row r="19" spans="1:56" ht="24.9" customHeight="1" x14ac:dyDescent="0.25"/>
    <row r="20" spans="1:56" ht="24.9" customHeight="1" x14ac:dyDescent="0.25"/>
    <row r="21" spans="1:56" ht="24.9" customHeight="1" x14ac:dyDescent="0.25">
      <c r="A21" s="332" t="s">
        <v>50</v>
      </c>
      <c r="B21" s="333"/>
      <c r="C21" s="333"/>
      <c r="D21" s="333"/>
      <c r="E21" s="333"/>
      <c r="F21" s="333"/>
      <c r="G21" s="334"/>
      <c r="H21" s="332" t="s">
        <v>51</v>
      </c>
      <c r="I21" s="333"/>
      <c r="J21" s="333"/>
      <c r="K21" s="333"/>
      <c r="L21" s="333"/>
      <c r="M21" s="333"/>
      <c r="N21" s="334"/>
      <c r="O21" s="332" t="s">
        <v>52</v>
      </c>
      <c r="P21" s="333"/>
      <c r="Q21" s="333"/>
      <c r="R21" s="333"/>
      <c r="S21" s="333"/>
      <c r="T21" s="333"/>
      <c r="U21" s="334"/>
      <c r="V21" s="332" t="s">
        <v>57</v>
      </c>
      <c r="W21" s="333"/>
      <c r="X21" s="333"/>
      <c r="Y21" s="333"/>
      <c r="Z21" s="333"/>
      <c r="AA21" s="333"/>
      <c r="AB21" s="334"/>
      <c r="AC21" s="332" t="s">
        <v>53</v>
      </c>
      <c r="AD21" s="333"/>
      <c r="AE21" s="333"/>
      <c r="AF21" s="333"/>
      <c r="AG21" s="333"/>
      <c r="AH21" s="333"/>
      <c r="AI21" s="334"/>
      <c r="AJ21" s="332" t="s">
        <v>58</v>
      </c>
      <c r="AK21" s="333"/>
      <c r="AL21" s="333"/>
      <c r="AM21" s="333"/>
      <c r="AN21" s="333"/>
      <c r="AO21" s="333"/>
      <c r="AP21" s="334"/>
      <c r="AQ21" s="332" t="s">
        <v>59</v>
      </c>
      <c r="AR21" s="333"/>
      <c r="AS21" s="333"/>
      <c r="AT21" s="333"/>
      <c r="AU21" s="333"/>
      <c r="AV21" s="333"/>
      <c r="AW21" s="334"/>
      <c r="AX21" s="332" t="s">
        <v>60</v>
      </c>
      <c r="AY21" s="333"/>
      <c r="AZ21" s="333"/>
      <c r="BA21" s="333"/>
      <c r="BB21" s="333"/>
      <c r="BC21" s="333"/>
      <c r="BD21" s="334"/>
    </row>
    <row r="22" spans="1:56" ht="24.9" customHeight="1" x14ac:dyDescent="0.25">
      <c r="A22" s="128" t="s">
        <v>43</v>
      </c>
      <c r="B22" s="335" t="s">
        <v>54</v>
      </c>
      <c r="C22" s="336"/>
      <c r="D22" s="336"/>
      <c r="E22" s="336"/>
      <c r="F22" s="336"/>
      <c r="G22" s="128" t="s">
        <v>55</v>
      </c>
      <c r="H22" s="128" t="s">
        <v>43</v>
      </c>
      <c r="I22" s="335" t="s">
        <v>54</v>
      </c>
      <c r="J22" s="336"/>
      <c r="K22" s="336"/>
      <c r="L22" s="336"/>
      <c r="M22" s="336"/>
      <c r="N22" s="128" t="s">
        <v>55</v>
      </c>
      <c r="O22" s="128" t="s">
        <v>43</v>
      </c>
      <c r="P22" s="335" t="s">
        <v>54</v>
      </c>
      <c r="Q22" s="336"/>
      <c r="R22" s="336"/>
      <c r="S22" s="336"/>
      <c r="T22" s="336"/>
      <c r="U22" s="128" t="s">
        <v>55</v>
      </c>
      <c r="V22" s="128" t="s">
        <v>43</v>
      </c>
      <c r="W22" s="335" t="s">
        <v>54</v>
      </c>
      <c r="X22" s="336"/>
      <c r="Y22" s="336"/>
      <c r="Z22" s="336"/>
      <c r="AA22" s="337"/>
      <c r="AB22" s="128" t="s">
        <v>55</v>
      </c>
      <c r="AC22" s="128" t="s">
        <v>43</v>
      </c>
      <c r="AD22" s="335" t="s">
        <v>54</v>
      </c>
      <c r="AE22" s="336"/>
      <c r="AF22" s="336"/>
      <c r="AG22" s="336"/>
      <c r="AH22" s="336"/>
      <c r="AI22" s="128" t="s">
        <v>55</v>
      </c>
      <c r="AJ22" s="128" t="s">
        <v>43</v>
      </c>
      <c r="AK22" s="335" t="s">
        <v>54</v>
      </c>
      <c r="AL22" s="336"/>
      <c r="AM22" s="336"/>
      <c r="AN22" s="336"/>
      <c r="AO22" s="336"/>
      <c r="AP22" s="128" t="s">
        <v>55</v>
      </c>
      <c r="AQ22" s="128" t="s">
        <v>43</v>
      </c>
      <c r="AR22" s="335" t="s">
        <v>54</v>
      </c>
      <c r="AS22" s="336"/>
      <c r="AT22" s="336"/>
      <c r="AU22" s="336"/>
      <c r="AV22" s="336"/>
      <c r="AW22" s="128" t="s">
        <v>55</v>
      </c>
      <c r="AX22" s="128" t="s">
        <v>43</v>
      </c>
      <c r="AY22" s="335" t="s">
        <v>54</v>
      </c>
      <c r="AZ22" s="336"/>
      <c r="BA22" s="336"/>
      <c r="BB22" s="336"/>
      <c r="BC22" s="337"/>
      <c r="BD22" s="128" t="s">
        <v>55</v>
      </c>
    </row>
    <row r="23" spans="1:56" ht="24.9" customHeight="1" x14ac:dyDescent="0.25">
      <c r="A23" s="129">
        <v>1</v>
      </c>
      <c r="B23" s="130"/>
      <c r="C23" s="131"/>
      <c r="D23" s="131"/>
      <c r="E23" s="131"/>
      <c r="F23" s="131"/>
      <c r="G23" s="132"/>
      <c r="H23" s="129">
        <v>1</v>
      </c>
      <c r="I23" s="130"/>
      <c r="J23" s="133"/>
      <c r="K23" s="133"/>
      <c r="L23" s="133"/>
      <c r="M23" s="133"/>
      <c r="N23" s="132"/>
      <c r="O23" s="129">
        <v>1</v>
      </c>
      <c r="P23" s="141"/>
      <c r="Q23" s="133"/>
      <c r="R23" s="133"/>
      <c r="S23" s="133"/>
      <c r="T23" s="133"/>
      <c r="U23" s="132"/>
      <c r="V23" s="129">
        <v>1</v>
      </c>
      <c r="W23" s="130"/>
      <c r="X23" s="133"/>
      <c r="Y23" s="133"/>
      <c r="Z23" s="133"/>
      <c r="AA23" s="134"/>
      <c r="AB23" s="135"/>
      <c r="AC23" s="129">
        <v>1</v>
      </c>
      <c r="AD23" s="130"/>
      <c r="AE23" s="131"/>
      <c r="AF23" s="131"/>
      <c r="AG23" s="131"/>
      <c r="AH23" s="131"/>
      <c r="AI23" s="132"/>
      <c r="AJ23" s="129">
        <v>1</v>
      </c>
      <c r="AK23" s="130"/>
      <c r="AL23" s="133"/>
      <c r="AM23" s="133"/>
      <c r="AN23" s="133"/>
      <c r="AO23" s="133"/>
      <c r="AP23" s="132"/>
      <c r="AQ23" s="129">
        <v>1</v>
      </c>
      <c r="AR23" s="141"/>
      <c r="AS23" s="133"/>
      <c r="AT23" s="133"/>
      <c r="AU23" s="133"/>
      <c r="AV23" s="133"/>
      <c r="AW23" s="132"/>
      <c r="AX23" s="129">
        <v>1</v>
      </c>
      <c r="AY23" s="130"/>
      <c r="AZ23" s="133"/>
      <c r="BA23" s="133"/>
      <c r="BB23" s="133"/>
      <c r="BC23" s="134"/>
      <c r="BD23" s="135"/>
    </row>
    <row r="24" spans="1:56" ht="24.9" customHeight="1" x14ac:dyDescent="0.25">
      <c r="A24" s="129">
        <v>2</v>
      </c>
      <c r="B24" s="130"/>
      <c r="C24" s="133"/>
      <c r="D24" s="133"/>
      <c r="E24" s="133"/>
      <c r="F24" s="133"/>
      <c r="G24" s="132"/>
      <c r="H24" s="129">
        <v>2</v>
      </c>
      <c r="I24" s="130"/>
      <c r="J24" s="133"/>
      <c r="K24" s="133"/>
      <c r="L24" s="133"/>
      <c r="M24" s="133"/>
      <c r="N24" s="132"/>
      <c r="O24" s="129">
        <v>2</v>
      </c>
      <c r="P24" s="141"/>
      <c r="Q24" s="133"/>
      <c r="R24" s="133"/>
      <c r="S24" s="133"/>
      <c r="T24" s="133"/>
      <c r="U24" s="132"/>
      <c r="V24" s="129">
        <v>2</v>
      </c>
      <c r="W24" s="130"/>
      <c r="X24" s="133"/>
      <c r="Y24" s="133"/>
      <c r="Z24" s="133"/>
      <c r="AA24" s="134"/>
      <c r="AB24" s="135"/>
      <c r="AC24" s="129">
        <v>2</v>
      </c>
      <c r="AD24" s="130"/>
      <c r="AE24" s="133"/>
      <c r="AF24" s="133"/>
      <c r="AG24" s="133"/>
      <c r="AH24" s="133"/>
      <c r="AI24" s="132"/>
      <c r="AJ24" s="129">
        <v>2</v>
      </c>
      <c r="AK24" s="130"/>
      <c r="AL24" s="133"/>
      <c r="AM24" s="133"/>
      <c r="AN24" s="133"/>
      <c r="AO24" s="133"/>
      <c r="AP24" s="132"/>
      <c r="AQ24" s="129">
        <v>2</v>
      </c>
      <c r="AR24" s="141"/>
      <c r="AS24" s="133"/>
      <c r="AT24" s="133"/>
      <c r="AU24" s="133"/>
      <c r="AV24" s="133"/>
      <c r="AW24" s="132"/>
      <c r="AX24" s="129">
        <v>2</v>
      </c>
      <c r="AY24" s="130"/>
      <c r="AZ24" s="133"/>
      <c r="BA24" s="133"/>
      <c r="BB24" s="133"/>
      <c r="BC24" s="134"/>
      <c r="BD24" s="135"/>
    </row>
    <row r="25" spans="1:56" ht="24.9" customHeight="1" x14ac:dyDescent="0.25">
      <c r="A25" s="129">
        <v>3</v>
      </c>
      <c r="B25" s="130"/>
      <c r="C25" s="133"/>
      <c r="D25" s="133"/>
      <c r="E25" s="133"/>
      <c r="F25" s="133"/>
      <c r="G25" s="132"/>
      <c r="H25" s="129">
        <v>3</v>
      </c>
      <c r="I25" s="130"/>
      <c r="J25" s="133"/>
      <c r="K25" s="133"/>
      <c r="L25" s="133"/>
      <c r="M25" s="133"/>
      <c r="N25" s="132"/>
      <c r="O25" s="129">
        <v>3</v>
      </c>
      <c r="P25" s="141"/>
      <c r="Q25" s="133"/>
      <c r="R25" s="133"/>
      <c r="S25" s="133"/>
      <c r="T25" s="133"/>
      <c r="U25" s="132"/>
      <c r="V25" s="129">
        <v>3</v>
      </c>
      <c r="W25" s="130"/>
      <c r="X25" s="133"/>
      <c r="Y25" s="133"/>
      <c r="Z25" s="133"/>
      <c r="AA25" s="134"/>
      <c r="AB25" s="135"/>
      <c r="AC25" s="129">
        <v>3</v>
      </c>
      <c r="AD25" s="130"/>
      <c r="AE25" s="133"/>
      <c r="AF25" s="133"/>
      <c r="AG25" s="133"/>
      <c r="AH25" s="133"/>
      <c r="AI25" s="132"/>
      <c r="AJ25" s="129">
        <v>3</v>
      </c>
      <c r="AK25" s="130"/>
      <c r="AL25" s="133"/>
      <c r="AM25" s="133"/>
      <c r="AN25" s="133"/>
      <c r="AO25" s="133"/>
      <c r="AP25" s="132"/>
      <c r="AQ25" s="129">
        <v>3</v>
      </c>
      <c r="AR25" s="141"/>
      <c r="AS25" s="133"/>
      <c r="AT25" s="133"/>
      <c r="AU25" s="133"/>
      <c r="AV25" s="133"/>
      <c r="AW25" s="132"/>
      <c r="AX25" s="129">
        <v>3</v>
      </c>
      <c r="AY25" s="130"/>
      <c r="AZ25" s="133"/>
      <c r="BA25" s="133"/>
      <c r="BB25" s="133"/>
      <c r="BC25" s="134"/>
      <c r="BD25" s="135"/>
    </row>
    <row r="26" spans="1:56" ht="24.9" customHeight="1" x14ac:dyDescent="0.25">
      <c r="A26" s="129">
        <v>4</v>
      </c>
      <c r="B26" s="130"/>
      <c r="C26" s="133"/>
      <c r="D26" s="133"/>
      <c r="E26" s="133"/>
      <c r="F26" s="133"/>
      <c r="G26" s="132"/>
      <c r="H26" s="129">
        <v>4</v>
      </c>
      <c r="I26" s="130"/>
      <c r="J26" s="133"/>
      <c r="K26" s="133"/>
      <c r="L26" s="133"/>
      <c r="M26" s="133"/>
      <c r="N26" s="132"/>
      <c r="O26" s="129">
        <v>4</v>
      </c>
      <c r="P26" s="141"/>
      <c r="Q26" s="133"/>
      <c r="R26" s="133"/>
      <c r="S26" s="133"/>
      <c r="T26" s="133"/>
      <c r="U26" s="132"/>
      <c r="V26" s="129">
        <v>4</v>
      </c>
      <c r="W26" s="130"/>
      <c r="X26" s="133"/>
      <c r="Y26" s="133"/>
      <c r="Z26" s="133"/>
      <c r="AA26" s="134"/>
      <c r="AB26" s="135"/>
      <c r="AC26" s="129">
        <v>4</v>
      </c>
      <c r="AD26" s="130"/>
      <c r="AE26" s="133"/>
      <c r="AF26" s="133"/>
      <c r="AG26" s="133"/>
      <c r="AH26" s="133"/>
      <c r="AI26" s="132"/>
      <c r="AJ26" s="129">
        <v>4</v>
      </c>
      <c r="AK26" s="130"/>
      <c r="AL26" s="133"/>
      <c r="AM26" s="133"/>
      <c r="AN26" s="133"/>
      <c r="AO26" s="133"/>
      <c r="AP26" s="132"/>
      <c r="AQ26" s="129">
        <v>4</v>
      </c>
      <c r="AR26" s="141"/>
      <c r="AS26" s="133"/>
      <c r="AT26" s="133"/>
      <c r="AU26" s="133"/>
      <c r="AV26" s="133"/>
      <c r="AW26" s="132"/>
      <c r="AX26" s="129">
        <v>4</v>
      </c>
      <c r="AY26" s="130"/>
      <c r="AZ26" s="133"/>
      <c r="BA26" s="133"/>
      <c r="BB26" s="133"/>
      <c r="BC26" s="134"/>
      <c r="BD26" s="135"/>
    </row>
    <row r="27" spans="1:56" ht="24.9" customHeight="1" x14ac:dyDescent="0.25">
      <c r="A27" s="129">
        <v>5</v>
      </c>
      <c r="B27" s="148"/>
      <c r="C27" s="133"/>
      <c r="D27" s="133"/>
      <c r="E27" s="133"/>
      <c r="F27" s="133"/>
      <c r="G27" s="132"/>
      <c r="H27" s="129">
        <v>5</v>
      </c>
      <c r="I27" s="148"/>
      <c r="J27" s="133"/>
      <c r="K27" s="133"/>
      <c r="L27" s="133"/>
      <c r="M27" s="133"/>
      <c r="N27" s="132"/>
      <c r="O27" s="129">
        <v>5</v>
      </c>
      <c r="P27" s="141"/>
      <c r="Q27" s="133"/>
      <c r="R27" s="133"/>
      <c r="S27" s="133"/>
      <c r="T27" s="133"/>
      <c r="U27" s="132"/>
      <c r="V27" s="129">
        <v>5</v>
      </c>
      <c r="W27" s="148"/>
      <c r="X27" s="133"/>
      <c r="Y27" s="133"/>
      <c r="Z27" s="133"/>
      <c r="AA27" s="134"/>
      <c r="AB27" s="136"/>
      <c r="AC27" s="129">
        <v>5</v>
      </c>
      <c r="AD27" s="148"/>
      <c r="AE27" s="133"/>
      <c r="AF27" s="133"/>
      <c r="AG27" s="133"/>
      <c r="AH27" s="133"/>
      <c r="AI27" s="132"/>
      <c r="AJ27" s="129">
        <v>5</v>
      </c>
      <c r="AK27" s="148"/>
      <c r="AL27" s="133"/>
      <c r="AM27" s="133"/>
      <c r="AN27" s="133"/>
      <c r="AO27" s="133"/>
      <c r="AP27" s="132"/>
      <c r="AQ27" s="129">
        <v>5</v>
      </c>
      <c r="AR27" s="141"/>
      <c r="AS27" s="133"/>
      <c r="AT27" s="133"/>
      <c r="AU27" s="133"/>
      <c r="AV27" s="133"/>
      <c r="AW27" s="132"/>
      <c r="AX27" s="129">
        <v>5</v>
      </c>
      <c r="AY27" s="148"/>
      <c r="AZ27" s="133"/>
      <c r="BA27" s="133"/>
      <c r="BB27" s="133"/>
      <c r="BC27" s="134"/>
      <c r="BD27" s="136"/>
    </row>
    <row r="28" spans="1:56" ht="24.9" customHeight="1" x14ac:dyDescent="0.25">
      <c r="A28" s="129">
        <v>6</v>
      </c>
      <c r="B28" s="130"/>
      <c r="C28" s="133"/>
      <c r="D28" s="133"/>
      <c r="E28" s="133"/>
      <c r="F28" s="133"/>
      <c r="G28" s="132"/>
      <c r="H28" s="129">
        <v>6</v>
      </c>
      <c r="I28" s="130"/>
      <c r="J28" s="133"/>
      <c r="K28" s="133"/>
      <c r="L28" s="133"/>
      <c r="M28" s="133"/>
      <c r="N28" s="132"/>
      <c r="O28" s="129">
        <v>6</v>
      </c>
      <c r="P28" s="141"/>
      <c r="Q28" s="133"/>
      <c r="R28" s="133"/>
      <c r="S28" s="133"/>
      <c r="T28" s="133"/>
      <c r="U28" s="132"/>
      <c r="V28" s="129">
        <v>6</v>
      </c>
      <c r="W28" s="130"/>
      <c r="X28" s="133"/>
      <c r="Y28" s="133"/>
      <c r="Z28" s="133"/>
      <c r="AA28" s="134"/>
      <c r="AB28" s="135"/>
      <c r="AC28" s="129">
        <v>6</v>
      </c>
      <c r="AD28" s="130"/>
      <c r="AE28" s="133"/>
      <c r="AF28" s="133"/>
      <c r="AG28" s="133"/>
      <c r="AH28" s="133"/>
      <c r="AI28" s="132"/>
      <c r="AJ28" s="129">
        <v>6</v>
      </c>
      <c r="AK28" s="130"/>
      <c r="AL28" s="133"/>
      <c r="AM28" s="133"/>
      <c r="AN28" s="133"/>
      <c r="AO28" s="133"/>
      <c r="AP28" s="132"/>
      <c r="AQ28" s="129">
        <v>6</v>
      </c>
      <c r="AR28" s="141"/>
      <c r="AS28" s="133"/>
      <c r="AT28" s="133"/>
      <c r="AU28" s="133"/>
      <c r="AV28" s="133"/>
      <c r="AW28" s="132"/>
      <c r="AX28" s="129">
        <v>6</v>
      </c>
      <c r="AY28" s="130"/>
      <c r="AZ28" s="133"/>
      <c r="BA28" s="133"/>
      <c r="BB28" s="133"/>
      <c r="BC28" s="134"/>
      <c r="BD28" s="135"/>
    </row>
    <row r="29" spans="1:56" ht="24.9" customHeight="1" x14ac:dyDescent="0.25">
      <c r="A29" s="129">
        <v>7</v>
      </c>
      <c r="B29" s="130"/>
      <c r="C29" s="133"/>
      <c r="D29" s="133"/>
      <c r="E29" s="133"/>
      <c r="F29" s="133"/>
      <c r="G29" s="132"/>
      <c r="H29" s="129">
        <v>7</v>
      </c>
      <c r="I29" s="130"/>
      <c r="J29" s="133"/>
      <c r="K29" s="133"/>
      <c r="L29" s="133"/>
      <c r="M29" s="133"/>
      <c r="N29" s="132"/>
      <c r="O29" s="129">
        <v>7</v>
      </c>
      <c r="P29" s="141"/>
      <c r="Q29" s="133"/>
      <c r="R29" s="133"/>
      <c r="S29" s="133"/>
      <c r="T29" s="133"/>
      <c r="U29" s="132"/>
      <c r="V29" s="129">
        <v>7</v>
      </c>
      <c r="W29" s="130"/>
      <c r="X29" s="133"/>
      <c r="Y29" s="133"/>
      <c r="Z29" s="133"/>
      <c r="AA29" s="134"/>
      <c r="AB29" s="135"/>
      <c r="AC29" s="129">
        <v>7</v>
      </c>
      <c r="AD29" s="130"/>
      <c r="AE29" s="133"/>
      <c r="AF29" s="133"/>
      <c r="AG29" s="133"/>
      <c r="AH29" s="133"/>
      <c r="AI29" s="132"/>
      <c r="AJ29" s="129">
        <v>7</v>
      </c>
      <c r="AK29" s="130"/>
      <c r="AL29" s="133"/>
      <c r="AM29" s="133"/>
      <c r="AN29" s="133"/>
      <c r="AO29" s="133"/>
      <c r="AP29" s="132"/>
      <c r="AQ29" s="129">
        <v>7</v>
      </c>
      <c r="AR29" s="141"/>
      <c r="AS29" s="133"/>
      <c r="AT29" s="133"/>
      <c r="AU29" s="133"/>
      <c r="AV29" s="133"/>
      <c r="AW29" s="132"/>
      <c r="AX29" s="129">
        <v>7</v>
      </c>
      <c r="AY29" s="130"/>
      <c r="AZ29" s="133"/>
      <c r="BA29" s="133"/>
      <c r="BB29" s="133"/>
      <c r="BC29" s="134"/>
      <c r="BD29" s="135"/>
    </row>
    <row r="30" spans="1:56" ht="24.9" customHeight="1" x14ac:dyDescent="0.25">
      <c r="A30" s="129">
        <v>8</v>
      </c>
      <c r="B30" s="130"/>
      <c r="C30" s="133"/>
      <c r="D30" s="133"/>
      <c r="E30" s="133"/>
      <c r="F30" s="133"/>
      <c r="G30" s="137"/>
      <c r="H30" s="129">
        <v>8</v>
      </c>
      <c r="I30" s="130"/>
      <c r="J30" s="133"/>
      <c r="K30" s="133"/>
      <c r="L30" s="133"/>
      <c r="M30" s="133"/>
      <c r="N30" s="132"/>
      <c r="O30" s="129">
        <v>8</v>
      </c>
      <c r="P30" s="141"/>
      <c r="Q30" s="133"/>
      <c r="R30" s="133"/>
      <c r="S30" s="133"/>
      <c r="T30" s="133"/>
      <c r="U30" s="132"/>
      <c r="V30" s="129">
        <v>8</v>
      </c>
      <c r="W30" s="130"/>
      <c r="X30" s="133"/>
      <c r="Y30" s="133"/>
      <c r="Z30" s="133"/>
      <c r="AA30" s="134"/>
      <c r="AB30" s="138"/>
      <c r="AC30" s="129">
        <v>8</v>
      </c>
      <c r="AD30" s="130"/>
      <c r="AE30" s="133"/>
      <c r="AF30" s="133"/>
      <c r="AG30" s="133"/>
      <c r="AH30" s="133"/>
      <c r="AI30" s="137"/>
      <c r="AJ30" s="129">
        <v>8</v>
      </c>
      <c r="AK30" s="130"/>
      <c r="AL30" s="133"/>
      <c r="AM30" s="133"/>
      <c r="AN30" s="133"/>
      <c r="AO30" s="133"/>
      <c r="AP30" s="132"/>
      <c r="AQ30" s="129">
        <v>8</v>
      </c>
      <c r="AR30" s="141"/>
      <c r="AS30" s="133"/>
      <c r="AT30" s="133"/>
      <c r="AU30" s="133"/>
      <c r="AV30" s="133"/>
      <c r="AW30" s="132"/>
      <c r="AX30" s="129">
        <v>8</v>
      </c>
      <c r="AY30" s="130"/>
      <c r="AZ30" s="133"/>
      <c r="BA30" s="133"/>
      <c r="BB30" s="133"/>
      <c r="BC30" s="134"/>
      <c r="BD30" s="138"/>
    </row>
    <row r="31" spans="1:56" ht="24.9" customHeight="1" x14ac:dyDescent="0.25">
      <c r="A31" s="129">
        <v>9</v>
      </c>
      <c r="B31" s="130"/>
      <c r="C31" s="133"/>
      <c r="D31" s="133"/>
      <c r="E31" s="133"/>
      <c r="F31" s="133"/>
      <c r="G31" s="132"/>
      <c r="H31" s="129">
        <v>9</v>
      </c>
      <c r="I31" s="130"/>
      <c r="J31" s="133"/>
      <c r="K31" s="133"/>
      <c r="L31" s="133"/>
      <c r="M31" s="133"/>
      <c r="N31" s="139"/>
      <c r="O31" s="129">
        <v>9</v>
      </c>
      <c r="P31" s="141"/>
      <c r="Q31" s="133"/>
      <c r="R31" s="133"/>
      <c r="S31" s="133"/>
      <c r="T31" s="133"/>
      <c r="U31" s="132"/>
      <c r="V31" s="129">
        <v>9</v>
      </c>
      <c r="W31" s="130"/>
      <c r="X31" s="133"/>
      <c r="Y31" s="133"/>
      <c r="Z31" s="133"/>
      <c r="AA31" s="134"/>
      <c r="AB31" s="138"/>
      <c r="AC31" s="129">
        <v>9</v>
      </c>
      <c r="AD31" s="130"/>
      <c r="AE31" s="133"/>
      <c r="AF31" s="133"/>
      <c r="AG31" s="133"/>
      <c r="AH31" s="133"/>
      <c r="AI31" s="132"/>
      <c r="AJ31" s="129">
        <v>9</v>
      </c>
      <c r="AK31" s="130"/>
      <c r="AL31" s="133"/>
      <c r="AM31" s="133"/>
      <c r="AN31" s="133"/>
      <c r="AO31" s="133"/>
      <c r="AP31" s="139"/>
      <c r="AQ31" s="129">
        <v>9</v>
      </c>
      <c r="AR31" s="141"/>
      <c r="AS31" s="133"/>
      <c r="AT31" s="133"/>
      <c r="AU31" s="133"/>
      <c r="AV31" s="133"/>
      <c r="AW31" s="132"/>
      <c r="AX31" s="129">
        <v>9</v>
      </c>
      <c r="AY31" s="130"/>
      <c r="AZ31" s="133"/>
      <c r="BA31" s="133"/>
      <c r="BB31" s="133"/>
      <c r="BC31" s="134"/>
      <c r="BD31" s="138"/>
    </row>
    <row r="32" spans="1:56" ht="24.9" customHeight="1" x14ac:dyDescent="0.25">
      <c r="A32" s="129">
        <v>10</v>
      </c>
      <c r="B32" s="140"/>
      <c r="C32" s="133"/>
      <c r="D32" s="133"/>
      <c r="E32" s="133"/>
      <c r="F32" s="133"/>
      <c r="G32" s="132"/>
      <c r="H32" s="129">
        <v>10</v>
      </c>
      <c r="I32" s="140"/>
      <c r="J32" s="133"/>
      <c r="K32" s="133"/>
      <c r="L32" s="133"/>
      <c r="M32" s="133"/>
      <c r="N32" s="132"/>
      <c r="O32" s="129">
        <v>10</v>
      </c>
      <c r="P32" s="141"/>
      <c r="Q32" s="133"/>
      <c r="R32" s="133"/>
      <c r="S32" s="133"/>
      <c r="T32" s="133"/>
      <c r="U32" s="132"/>
      <c r="V32" s="129">
        <v>10</v>
      </c>
      <c r="W32" s="140"/>
      <c r="X32" s="133"/>
      <c r="Y32" s="133"/>
      <c r="Z32" s="133"/>
      <c r="AA32" s="134"/>
      <c r="AB32" s="132"/>
      <c r="AC32" s="129">
        <v>10</v>
      </c>
      <c r="AD32" s="140"/>
      <c r="AE32" s="133"/>
      <c r="AF32" s="133"/>
      <c r="AG32" s="133"/>
      <c r="AH32" s="133"/>
      <c r="AI32" s="132"/>
      <c r="AJ32" s="129">
        <v>10</v>
      </c>
      <c r="AK32" s="140"/>
      <c r="AL32" s="133"/>
      <c r="AM32" s="133"/>
      <c r="AN32" s="133"/>
      <c r="AO32" s="133"/>
      <c r="AP32" s="132"/>
      <c r="AQ32" s="129">
        <v>10</v>
      </c>
      <c r="AR32" s="141"/>
      <c r="AS32" s="133"/>
      <c r="AT32" s="133"/>
      <c r="AU32" s="133"/>
      <c r="AV32" s="133"/>
      <c r="AW32" s="132"/>
      <c r="AX32" s="129">
        <v>10</v>
      </c>
      <c r="AY32" s="140"/>
      <c r="AZ32" s="133"/>
      <c r="BA32" s="133"/>
      <c r="BB32" s="133"/>
      <c r="BC32" s="134"/>
      <c r="BD32" s="132"/>
    </row>
    <row r="33" spans="1:63" ht="24.9" customHeight="1" x14ac:dyDescent="0.25">
      <c r="A33" s="129">
        <v>11</v>
      </c>
      <c r="B33" s="140"/>
      <c r="C33" s="133"/>
      <c r="D33" s="133"/>
      <c r="E33" s="133"/>
      <c r="F33" s="133"/>
      <c r="G33" s="132"/>
      <c r="H33" s="129">
        <v>11</v>
      </c>
      <c r="I33" s="140"/>
      <c r="J33" s="133"/>
      <c r="K33" s="133"/>
      <c r="L33" s="133"/>
      <c r="M33" s="133"/>
      <c r="N33" s="132"/>
      <c r="O33" s="129">
        <v>11</v>
      </c>
      <c r="P33" s="141"/>
      <c r="Q33" s="133"/>
      <c r="R33" s="133"/>
      <c r="S33" s="133"/>
      <c r="T33" s="133"/>
      <c r="U33" s="132"/>
      <c r="V33" s="129">
        <v>11</v>
      </c>
      <c r="W33" s="141"/>
      <c r="X33" s="133"/>
      <c r="Y33" s="133"/>
      <c r="Z33" s="133"/>
      <c r="AA33" s="134"/>
      <c r="AB33" s="132"/>
      <c r="AC33" s="129">
        <v>11</v>
      </c>
      <c r="AD33" s="140"/>
      <c r="AE33" s="133"/>
      <c r="AF33" s="133"/>
      <c r="AG33" s="133"/>
      <c r="AH33" s="133"/>
      <c r="AI33" s="132"/>
      <c r="AJ33" s="129">
        <v>11</v>
      </c>
      <c r="AK33" s="140"/>
      <c r="AL33" s="133"/>
      <c r="AM33" s="133"/>
      <c r="AN33" s="133"/>
      <c r="AO33" s="133"/>
      <c r="AP33" s="132"/>
      <c r="AQ33" s="129">
        <v>11</v>
      </c>
      <c r="AR33" s="141"/>
      <c r="AS33" s="133"/>
      <c r="AT33" s="133"/>
      <c r="AU33" s="133"/>
      <c r="AV33" s="133"/>
      <c r="AW33" s="132"/>
      <c r="AX33" s="129">
        <v>11</v>
      </c>
      <c r="AY33" s="141"/>
      <c r="AZ33" s="133"/>
      <c r="BA33" s="133"/>
      <c r="BB33" s="133"/>
      <c r="BC33" s="134"/>
      <c r="BD33" s="132"/>
    </row>
    <row r="34" spans="1:63" ht="24.9" customHeight="1" x14ac:dyDescent="0.25">
      <c r="A34" s="129">
        <v>12</v>
      </c>
      <c r="B34" s="140"/>
      <c r="C34" s="133"/>
      <c r="D34" s="133"/>
      <c r="E34" s="133"/>
      <c r="F34" s="133"/>
      <c r="G34" s="132"/>
      <c r="H34" s="129">
        <v>12</v>
      </c>
      <c r="I34" s="140"/>
      <c r="J34" s="133"/>
      <c r="K34" s="133"/>
      <c r="L34" s="133"/>
      <c r="M34" s="133"/>
      <c r="N34" s="132"/>
      <c r="O34" s="129">
        <v>12</v>
      </c>
      <c r="P34" s="141"/>
      <c r="Q34" s="133"/>
      <c r="R34" s="133"/>
      <c r="S34" s="133"/>
      <c r="T34" s="133"/>
      <c r="U34" s="132"/>
      <c r="V34" s="129">
        <v>12</v>
      </c>
      <c r="W34" s="141"/>
      <c r="X34" s="133"/>
      <c r="Y34" s="133"/>
      <c r="Z34" s="133"/>
      <c r="AA34" s="134"/>
      <c r="AB34" s="132"/>
      <c r="AC34" s="129">
        <v>12</v>
      </c>
      <c r="AD34" s="140"/>
      <c r="AE34" s="133"/>
      <c r="AF34" s="133"/>
      <c r="AG34" s="133"/>
      <c r="AH34" s="133"/>
      <c r="AI34" s="132"/>
      <c r="AJ34" s="129">
        <v>12</v>
      </c>
      <c r="AK34" s="140"/>
      <c r="AL34" s="133"/>
      <c r="AM34" s="133"/>
      <c r="AN34" s="133"/>
      <c r="AO34" s="133"/>
      <c r="AP34" s="132"/>
      <c r="AQ34" s="129">
        <v>12</v>
      </c>
      <c r="AR34" s="141"/>
      <c r="AS34" s="133"/>
      <c r="AT34" s="133"/>
      <c r="AU34" s="133"/>
      <c r="AV34" s="133"/>
      <c r="AW34" s="132"/>
      <c r="AX34" s="129">
        <v>12</v>
      </c>
      <c r="AY34" s="141"/>
      <c r="AZ34" s="133"/>
      <c r="BA34" s="133"/>
      <c r="BB34" s="133"/>
      <c r="BC34" s="134"/>
      <c r="BD34" s="132"/>
    </row>
    <row r="35" spans="1:63" ht="24.9" customHeight="1" x14ac:dyDescent="0.25">
      <c r="A35" s="129">
        <v>13</v>
      </c>
      <c r="B35" s="142"/>
      <c r="C35" s="133"/>
      <c r="D35" s="133"/>
      <c r="E35" s="133"/>
      <c r="F35" s="133"/>
      <c r="G35" s="132"/>
      <c r="H35" s="129">
        <v>13</v>
      </c>
      <c r="I35" s="141"/>
      <c r="J35" s="133"/>
      <c r="K35" s="133"/>
      <c r="L35" s="133"/>
      <c r="M35" s="133"/>
      <c r="N35" s="132"/>
      <c r="O35" s="129">
        <v>13</v>
      </c>
      <c r="P35" s="141"/>
      <c r="Q35" s="133"/>
      <c r="R35" s="133"/>
      <c r="S35" s="133"/>
      <c r="T35" s="133"/>
      <c r="U35" s="132"/>
      <c r="V35" s="129">
        <v>13</v>
      </c>
      <c r="W35" s="141"/>
      <c r="X35" s="133"/>
      <c r="Y35" s="133"/>
      <c r="Z35" s="133"/>
      <c r="AA35" s="134"/>
      <c r="AB35" s="132"/>
      <c r="AC35" s="129">
        <v>13</v>
      </c>
      <c r="AD35" s="142"/>
      <c r="AE35" s="133"/>
      <c r="AF35" s="133"/>
      <c r="AG35" s="133"/>
      <c r="AH35" s="133"/>
      <c r="AI35" s="132"/>
      <c r="AJ35" s="129">
        <v>13</v>
      </c>
      <c r="AK35" s="141"/>
      <c r="AL35" s="133"/>
      <c r="AM35" s="133"/>
      <c r="AN35" s="133"/>
      <c r="AO35" s="133"/>
      <c r="AP35" s="132"/>
      <c r="AQ35" s="129">
        <v>13</v>
      </c>
      <c r="AR35" s="141"/>
      <c r="AS35" s="133"/>
      <c r="AT35" s="133"/>
      <c r="AU35" s="133"/>
      <c r="AV35" s="133"/>
      <c r="AW35" s="132"/>
      <c r="AX35" s="129">
        <v>13</v>
      </c>
      <c r="AY35" s="141"/>
      <c r="AZ35" s="133"/>
      <c r="BA35" s="133"/>
      <c r="BB35" s="133"/>
      <c r="BC35" s="134"/>
      <c r="BD35" s="132"/>
    </row>
    <row r="36" spans="1:63" ht="24.9" customHeight="1" x14ac:dyDescent="0.25">
      <c r="A36" s="129">
        <v>14</v>
      </c>
      <c r="B36" s="130"/>
      <c r="C36" s="133"/>
      <c r="D36" s="133"/>
      <c r="E36" s="133"/>
      <c r="F36" s="133"/>
      <c r="G36" s="137"/>
      <c r="H36" s="129">
        <v>14</v>
      </c>
      <c r="I36" s="141"/>
      <c r="J36" s="133"/>
      <c r="K36" s="133"/>
      <c r="L36" s="133"/>
      <c r="M36" s="133"/>
      <c r="N36" s="132"/>
      <c r="O36" s="129">
        <v>14</v>
      </c>
      <c r="P36" s="141"/>
      <c r="Q36" s="133"/>
      <c r="R36" s="133"/>
      <c r="S36" s="133"/>
      <c r="T36" s="133"/>
      <c r="U36" s="132"/>
      <c r="V36" s="129">
        <v>14</v>
      </c>
      <c r="W36" s="141"/>
      <c r="X36" s="133"/>
      <c r="Y36" s="133"/>
      <c r="Z36" s="133"/>
      <c r="AA36" s="134"/>
      <c r="AB36" s="132"/>
      <c r="AC36" s="129">
        <v>14</v>
      </c>
      <c r="AD36" s="130"/>
      <c r="AE36" s="133"/>
      <c r="AF36" s="133"/>
      <c r="AG36" s="133"/>
      <c r="AH36" s="133"/>
      <c r="AI36" s="137"/>
      <c r="AJ36" s="129">
        <v>14</v>
      </c>
      <c r="AK36" s="141"/>
      <c r="AL36" s="133"/>
      <c r="AM36" s="133"/>
      <c r="AN36" s="133"/>
      <c r="AO36" s="133"/>
      <c r="AP36" s="132"/>
      <c r="AQ36" s="129">
        <v>14</v>
      </c>
      <c r="AR36" s="141"/>
      <c r="AS36" s="133"/>
      <c r="AT36" s="133"/>
      <c r="AU36" s="133"/>
      <c r="AV36" s="133"/>
      <c r="AW36" s="132"/>
      <c r="AX36" s="129">
        <v>14</v>
      </c>
      <c r="AY36" s="141"/>
      <c r="AZ36" s="133"/>
      <c r="BA36" s="133"/>
      <c r="BB36" s="133"/>
      <c r="BC36" s="134"/>
      <c r="BD36" s="132"/>
    </row>
    <row r="37" spans="1:63" ht="24.9" customHeight="1" x14ac:dyDescent="0.25">
      <c r="A37" s="129">
        <v>15</v>
      </c>
      <c r="B37" s="130"/>
      <c r="C37" s="133"/>
      <c r="D37" s="133"/>
      <c r="E37" s="133"/>
      <c r="F37" s="133"/>
      <c r="G37" s="132"/>
      <c r="H37" s="129">
        <v>15</v>
      </c>
      <c r="I37" s="141"/>
      <c r="J37" s="133"/>
      <c r="K37" s="133"/>
      <c r="L37" s="133"/>
      <c r="M37" s="133"/>
      <c r="N37" s="132"/>
      <c r="O37" s="129">
        <v>15</v>
      </c>
      <c r="P37" s="141"/>
      <c r="Q37" s="133"/>
      <c r="R37" s="133"/>
      <c r="S37" s="133"/>
      <c r="T37" s="133"/>
      <c r="U37" s="132"/>
      <c r="V37" s="129">
        <v>15</v>
      </c>
      <c r="W37" s="141"/>
      <c r="X37" s="133"/>
      <c r="Y37" s="133"/>
      <c r="Z37" s="133"/>
      <c r="AA37" s="134"/>
      <c r="AB37" s="132"/>
      <c r="AC37" s="129">
        <v>15</v>
      </c>
      <c r="AD37" s="130"/>
      <c r="AE37" s="133"/>
      <c r="AF37" s="133"/>
      <c r="AG37" s="133"/>
      <c r="AH37" s="133"/>
      <c r="AI37" s="132"/>
      <c r="AJ37" s="129">
        <v>15</v>
      </c>
      <c r="AK37" s="141"/>
      <c r="AL37" s="133"/>
      <c r="AM37" s="133"/>
      <c r="AN37" s="133"/>
      <c r="AO37" s="133"/>
      <c r="AP37" s="132"/>
      <c r="AQ37" s="129">
        <v>15</v>
      </c>
      <c r="AR37" s="141"/>
      <c r="AS37" s="133"/>
      <c r="AT37" s="133"/>
      <c r="AU37" s="133"/>
      <c r="AV37" s="133"/>
      <c r="AW37" s="132"/>
      <c r="AX37" s="129">
        <v>15</v>
      </c>
      <c r="AY37" s="141"/>
      <c r="AZ37" s="133"/>
      <c r="BA37" s="133"/>
      <c r="BB37" s="133"/>
      <c r="BC37" s="134"/>
      <c r="BD37" s="132"/>
    </row>
    <row r="38" spans="1:63" ht="24.9" customHeight="1" x14ac:dyDescent="0.25">
      <c r="A38" s="129">
        <v>16</v>
      </c>
      <c r="B38" s="130"/>
      <c r="C38" s="131"/>
      <c r="D38" s="131"/>
      <c r="E38" s="131"/>
      <c r="F38" s="131"/>
      <c r="G38" s="132"/>
      <c r="H38" s="129">
        <v>16</v>
      </c>
      <c r="I38" s="130"/>
      <c r="J38" s="133"/>
      <c r="K38" s="133"/>
      <c r="L38" s="133"/>
      <c r="M38" s="133"/>
      <c r="N38" s="132"/>
      <c r="O38" s="129">
        <v>16</v>
      </c>
      <c r="P38" s="141"/>
      <c r="Q38" s="133"/>
      <c r="R38" s="133"/>
      <c r="S38" s="133"/>
      <c r="T38" s="133"/>
      <c r="U38" s="132"/>
      <c r="V38" s="129">
        <v>16</v>
      </c>
      <c r="W38" s="130"/>
      <c r="X38" s="133"/>
      <c r="Y38" s="133"/>
      <c r="Z38" s="133"/>
      <c r="AA38" s="134"/>
      <c r="AB38" s="135"/>
      <c r="AC38" s="129">
        <v>16</v>
      </c>
      <c r="AD38" s="130"/>
      <c r="AE38" s="131"/>
      <c r="AF38" s="131"/>
      <c r="AG38" s="131"/>
      <c r="AH38" s="131"/>
      <c r="AI38" s="132"/>
      <c r="AJ38" s="129">
        <v>16</v>
      </c>
      <c r="AK38" s="130"/>
      <c r="AL38" s="133"/>
      <c r="AM38" s="133"/>
      <c r="AN38" s="133"/>
      <c r="AO38" s="133"/>
      <c r="AP38" s="132"/>
      <c r="AQ38" s="129">
        <v>16</v>
      </c>
      <c r="AR38" s="141"/>
      <c r="AS38" s="133"/>
      <c r="AT38" s="133"/>
      <c r="AU38" s="133"/>
      <c r="AV38" s="133"/>
      <c r="AW38" s="132"/>
      <c r="AX38" s="129">
        <v>16</v>
      </c>
      <c r="AY38" s="130"/>
      <c r="AZ38" s="133"/>
      <c r="BA38" s="133"/>
      <c r="BB38" s="133"/>
      <c r="BC38" s="134"/>
      <c r="BD38" s="135"/>
    </row>
    <row r="39" spans="1:63" ht="24.9" customHeight="1" x14ac:dyDescent="0.25">
      <c r="A39" s="129">
        <v>17</v>
      </c>
      <c r="B39" s="130"/>
      <c r="C39" s="133"/>
      <c r="D39" s="133"/>
      <c r="E39" s="133"/>
      <c r="F39" s="133"/>
      <c r="G39" s="132"/>
      <c r="H39" s="129">
        <v>17</v>
      </c>
      <c r="I39" s="130"/>
      <c r="J39" s="133"/>
      <c r="K39" s="133"/>
      <c r="L39" s="133"/>
      <c r="M39" s="133"/>
      <c r="N39" s="132"/>
      <c r="O39" s="129">
        <v>17</v>
      </c>
      <c r="P39" s="141"/>
      <c r="Q39" s="133"/>
      <c r="R39" s="133"/>
      <c r="S39" s="133"/>
      <c r="T39" s="133"/>
      <c r="U39" s="132"/>
      <c r="V39" s="129">
        <v>17</v>
      </c>
      <c r="W39" s="130"/>
      <c r="X39" s="133"/>
      <c r="Y39" s="133"/>
      <c r="Z39" s="133"/>
      <c r="AA39" s="134"/>
      <c r="AB39" s="135"/>
      <c r="AC39" s="129">
        <v>17</v>
      </c>
      <c r="AD39" s="130"/>
      <c r="AE39" s="133"/>
      <c r="AF39" s="133"/>
      <c r="AG39" s="133"/>
      <c r="AH39" s="133"/>
      <c r="AI39" s="132"/>
      <c r="AJ39" s="129">
        <v>17</v>
      </c>
      <c r="AK39" s="130"/>
      <c r="AL39" s="133"/>
      <c r="AM39" s="133"/>
      <c r="AN39" s="133"/>
      <c r="AO39" s="133"/>
      <c r="AP39" s="132"/>
      <c r="AQ39" s="129">
        <v>17</v>
      </c>
      <c r="AR39" s="141"/>
      <c r="AS39" s="133"/>
      <c r="AT39" s="133"/>
      <c r="AU39" s="133"/>
      <c r="AV39" s="133"/>
      <c r="AW39" s="132"/>
      <c r="AX39" s="129">
        <v>17</v>
      </c>
      <c r="AY39" s="130"/>
      <c r="AZ39" s="133"/>
      <c r="BA39" s="133"/>
      <c r="BB39" s="133"/>
      <c r="BC39" s="134"/>
      <c r="BD39" s="135"/>
    </row>
    <row r="40" spans="1:63" ht="24.9" customHeight="1" x14ac:dyDescent="0.25">
      <c r="A40" s="129">
        <v>18</v>
      </c>
      <c r="B40" s="130"/>
      <c r="C40" s="133"/>
      <c r="D40" s="133"/>
      <c r="E40" s="133"/>
      <c r="F40" s="133"/>
      <c r="G40" s="132"/>
      <c r="H40" s="129">
        <v>18</v>
      </c>
      <c r="I40" s="130"/>
      <c r="J40" s="133"/>
      <c r="K40" s="133"/>
      <c r="L40" s="133"/>
      <c r="M40" s="133"/>
      <c r="N40" s="132"/>
      <c r="O40" s="129">
        <v>18</v>
      </c>
      <c r="P40" s="141"/>
      <c r="Q40" s="133"/>
      <c r="R40" s="133"/>
      <c r="S40" s="133"/>
      <c r="T40" s="133"/>
      <c r="U40" s="132"/>
      <c r="V40" s="129">
        <v>18</v>
      </c>
      <c r="W40" s="130"/>
      <c r="X40" s="133"/>
      <c r="Y40" s="133"/>
      <c r="Z40" s="133"/>
      <c r="AA40" s="134"/>
      <c r="AB40" s="135"/>
      <c r="AC40" s="129">
        <v>18</v>
      </c>
      <c r="AD40" s="130"/>
      <c r="AE40" s="133"/>
      <c r="AF40" s="133"/>
      <c r="AG40" s="133"/>
      <c r="AH40" s="133"/>
      <c r="AI40" s="132"/>
      <c r="AJ40" s="129">
        <v>18</v>
      </c>
      <c r="AK40" s="130"/>
      <c r="AL40" s="133"/>
      <c r="AM40" s="133"/>
      <c r="AN40" s="133"/>
      <c r="AO40" s="133"/>
      <c r="AP40" s="132"/>
      <c r="AQ40" s="129">
        <v>18</v>
      </c>
      <c r="AR40" s="141"/>
      <c r="AS40" s="133"/>
      <c r="AT40" s="133"/>
      <c r="AU40" s="133"/>
      <c r="AV40" s="133"/>
      <c r="AW40" s="132"/>
      <c r="AX40" s="129">
        <v>18</v>
      </c>
      <c r="AY40" s="130"/>
      <c r="AZ40" s="133"/>
      <c r="BA40" s="133"/>
      <c r="BB40" s="133"/>
      <c r="BC40" s="134"/>
      <c r="BD40" s="135"/>
    </row>
    <row r="41" spans="1:63" ht="24.9" customHeight="1" x14ac:dyDescent="0.25">
      <c r="A41" s="129">
        <v>19</v>
      </c>
      <c r="B41" s="130"/>
      <c r="C41" s="133"/>
      <c r="D41" s="133"/>
      <c r="E41" s="133"/>
      <c r="F41" s="133"/>
      <c r="G41" s="132"/>
      <c r="H41" s="129">
        <v>19</v>
      </c>
      <c r="I41" s="130"/>
      <c r="J41" s="133"/>
      <c r="K41" s="133"/>
      <c r="L41" s="133"/>
      <c r="M41" s="133"/>
      <c r="N41" s="132"/>
      <c r="O41" s="129">
        <v>19</v>
      </c>
      <c r="P41" s="141"/>
      <c r="Q41" s="133"/>
      <c r="R41" s="133"/>
      <c r="S41" s="133"/>
      <c r="T41" s="133"/>
      <c r="U41" s="132"/>
      <c r="V41" s="129">
        <v>19</v>
      </c>
      <c r="W41" s="130"/>
      <c r="X41" s="133"/>
      <c r="Y41" s="133"/>
      <c r="Z41" s="133"/>
      <c r="AA41" s="134"/>
      <c r="AB41" s="135"/>
      <c r="AC41" s="129">
        <v>19</v>
      </c>
      <c r="AD41" s="130"/>
      <c r="AE41" s="133"/>
      <c r="AF41" s="133"/>
      <c r="AG41" s="133"/>
      <c r="AH41" s="133"/>
      <c r="AI41" s="132"/>
      <c r="AJ41" s="129">
        <v>19</v>
      </c>
      <c r="AK41" s="130"/>
      <c r="AL41" s="133"/>
      <c r="AM41" s="133"/>
      <c r="AN41" s="133"/>
      <c r="AO41" s="133"/>
      <c r="AP41" s="132"/>
      <c r="AQ41" s="129">
        <v>19</v>
      </c>
      <c r="AR41" s="141"/>
      <c r="AS41" s="133"/>
      <c r="AT41" s="133"/>
      <c r="AU41" s="133"/>
      <c r="AV41" s="133"/>
      <c r="AW41" s="132"/>
      <c r="AX41" s="129">
        <v>19</v>
      </c>
      <c r="AY41" s="130"/>
      <c r="AZ41" s="133"/>
      <c r="BA41" s="133"/>
      <c r="BB41" s="133"/>
      <c r="BC41" s="134"/>
      <c r="BD41" s="135"/>
    </row>
    <row r="42" spans="1:63" ht="24.9" customHeight="1" x14ac:dyDescent="0.25">
      <c r="A42" s="129">
        <v>20</v>
      </c>
      <c r="B42" s="148"/>
      <c r="C42" s="133"/>
      <c r="D42" s="133"/>
      <c r="E42" s="133"/>
      <c r="F42" s="133"/>
      <c r="G42" s="132"/>
      <c r="H42" s="129">
        <v>20</v>
      </c>
      <c r="I42" s="148"/>
      <c r="J42" s="133"/>
      <c r="K42" s="133"/>
      <c r="L42" s="133"/>
      <c r="M42" s="133"/>
      <c r="N42" s="132"/>
      <c r="O42" s="129">
        <v>20</v>
      </c>
      <c r="P42" s="141"/>
      <c r="Q42" s="133"/>
      <c r="R42" s="133"/>
      <c r="S42" s="133"/>
      <c r="T42" s="133"/>
      <c r="U42" s="132"/>
      <c r="V42" s="129">
        <v>20</v>
      </c>
      <c r="W42" s="148"/>
      <c r="X42" s="133"/>
      <c r="Y42" s="133"/>
      <c r="Z42" s="133"/>
      <c r="AA42" s="134"/>
      <c r="AB42" s="136"/>
      <c r="AC42" s="129">
        <v>20</v>
      </c>
      <c r="AD42" s="148"/>
      <c r="AE42" s="133"/>
      <c r="AF42" s="133"/>
      <c r="AG42" s="133"/>
      <c r="AH42" s="133"/>
      <c r="AI42" s="132"/>
      <c r="AJ42" s="129">
        <v>20</v>
      </c>
      <c r="AK42" s="148"/>
      <c r="AL42" s="133"/>
      <c r="AM42" s="133"/>
      <c r="AN42" s="133"/>
      <c r="AO42" s="133"/>
      <c r="AP42" s="132"/>
      <c r="AQ42" s="129">
        <v>20</v>
      </c>
      <c r="AR42" s="141"/>
      <c r="AS42" s="133"/>
      <c r="AT42" s="133"/>
      <c r="AU42" s="133"/>
      <c r="AV42" s="133"/>
      <c r="AW42" s="132"/>
      <c r="AX42" s="129">
        <v>20</v>
      </c>
      <c r="AY42" s="148"/>
      <c r="AZ42" s="133"/>
      <c r="BA42" s="133"/>
      <c r="BB42" s="133"/>
      <c r="BC42" s="134"/>
      <c r="BD42" s="136"/>
    </row>
    <row r="43" spans="1:63" ht="24.9" customHeight="1" x14ac:dyDescent="0.25">
      <c r="A43" s="331" t="s">
        <v>20</v>
      </c>
      <c r="B43" s="331"/>
      <c r="C43" s="331"/>
      <c r="D43" s="331"/>
      <c r="E43" s="331"/>
      <c r="F43" s="331"/>
      <c r="G43" s="132">
        <f>SUM(G23:G42)</f>
        <v>0</v>
      </c>
      <c r="H43" s="331" t="s">
        <v>20</v>
      </c>
      <c r="I43" s="331"/>
      <c r="J43" s="331"/>
      <c r="K43" s="331"/>
      <c r="L43" s="331"/>
      <c r="M43" s="331"/>
      <c r="N43" s="132">
        <f>SUM(N23:N42)</f>
        <v>0</v>
      </c>
      <c r="O43" s="331" t="s">
        <v>20</v>
      </c>
      <c r="P43" s="331"/>
      <c r="Q43" s="331"/>
      <c r="R43" s="331"/>
      <c r="S43" s="331"/>
      <c r="T43" s="331"/>
      <c r="U43" s="132">
        <f>SUM(U23:U42)</f>
        <v>0</v>
      </c>
      <c r="V43" s="331" t="s">
        <v>20</v>
      </c>
      <c r="W43" s="331"/>
      <c r="X43" s="331"/>
      <c r="Y43" s="331"/>
      <c r="Z43" s="331"/>
      <c r="AA43" s="331"/>
      <c r="AB43" s="132">
        <f>SUM(AB23:AB42)</f>
        <v>0</v>
      </c>
      <c r="AC43" s="331" t="s">
        <v>20</v>
      </c>
      <c r="AD43" s="331"/>
      <c r="AE43" s="331"/>
      <c r="AF43" s="331"/>
      <c r="AG43" s="331"/>
      <c r="AH43" s="331"/>
      <c r="AI43" s="132">
        <f>SUM(AI23:AI42)</f>
        <v>0</v>
      </c>
      <c r="AJ43" s="331" t="s">
        <v>20</v>
      </c>
      <c r="AK43" s="331"/>
      <c r="AL43" s="331"/>
      <c r="AM43" s="331"/>
      <c r="AN43" s="331"/>
      <c r="AO43" s="331"/>
      <c r="AP43" s="132">
        <f>SUM(AP23:AP42)</f>
        <v>0</v>
      </c>
      <c r="AQ43" s="331" t="s">
        <v>20</v>
      </c>
      <c r="AR43" s="331"/>
      <c r="AS43" s="331"/>
      <c r="AT43" s="331"/>
      <c r="AU43" s="331"/>
      <c r="AV43" s="331"/>
      <c r="AW43" s="132">
        <f>SUM(AW23:AW42)</f>
        <v>0</v>
      </c>
      <c r="AX43" s="331" t="s">
        <v>20</v>
      </c>
      <c r="AY43" s="331"/>
      <c r="AZ43" s="331"/>
      <c r="BA43" s="331"/>
      <c r="BB43" s="331"/>
      <c r="BC43" s="331"/>
      <c r="BD43" s="132">
        <f>SUM(BD23:BD42)</f>
        <v>0</v>
      </c>
      <c r="BK43" s="116"/>
    </row>
    <row r="44" spans="1:63" ht="24.9" customHeight="1" x14ac:dyDescent="0.25">
      <c r="A44" s="143"/>
      <c r="B44" s="143"/>
      <c r="C44" s="143"/>
      <c r="D44" s="143"/>
      <c r="E44" s="143"/>
      <c r="F44" s="144" t="s">
        <v>56</v>
      </c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4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43"/>
    </row>
    <row r="45" spans="1:63" ht="16.5" customHeight="1" x14ac:dyDescent="0.25"/>
    <row r="46" spans="1:63" ht="20.100000000000001" customHeight="1" x14ac:dyDescent="0.25"/>
    <row r="47" spans="1:63" ht="20.100000000000001" customHeight="1" x14ac:dyDescent="0.25"/>
    <row r="48" spans="1:63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</sheetData>
  <mergeCells count="39">
    <mergeCell ref="H43:M43"/>
    <mergeCell ref="O43:T43"/>
    <mergeCell ref="V43:AA43"/>
    <mergeCell ref="A11:C11"/>
    <mergeCell ref="A21:G21"/>
    <mergeCell ref="H21:N21"/>
    <mergeCell ref="O21:U21"/>
    <mergeCell ref="V21:AB21"/>
    <mergeCell ref="B22:F22"/>
    <mergeCell ref="I22:M22"/>
    <mergeCell ref="P22:T22"/>
    <mergeCell ref="W22:AA22"/>
    <mergeCell ref="AJ43:AO43"/>
    <mergeCell ref="AQ43:AV43"/>
    <mergeCell ref="AX43:BC43"/>
    <mergeCell ref="A1:U1"/>
    <mergeCell ref="A2:U2"/>
    <mergeCell ref="AJ21:AP21"/>
    <mergeCell ref="AQ21:AW21"/>
    <mergeCell ref="AX21:BD21"/>
    <mergeCell ref="AD22:AH22"/>
    <mergeCell ref="AK22:AO22"/>
    <mergeCell ref="AR22:AV22"/>
    <mergeCell ref="AY22:BC22"/>
    <mergeCell ref="AC11:AE11"/>
    <mergeCell ref="AC21:AI21"/>
    <mergeCell ref="AC43:AH43"/>
    <mergeCell ref="A43:F43"/>
    <mergeCell ref="W3:AI3"/>
    <mergeCell ref="BA1:BD1"/>
    <mergeCell ref="AW1:AZ1"/>
    <mergeCell ref="AS1:AV1"/>
    <mergeCell ref="BA2:BD3"/>
    <mergeCell ref="AW2:AZ3"/>
    <mergeCell ref="AS2:AV3"/>
    <mergeCell ref="W1:AI1"/>
    <mergeCell ref="W2:AI2"/>
    <mergeCell ref="AJ1:AR1"/>
    <mergeCell ref="AJ2:AR2"/>
  </mergeCells>
  <printOptions horizontalCentered="1" verticalCentered="1"/>
  <pageMargins left="0.15748031496062992" right="0.15748031496062992" top="0.15748031496062992" bottom="0.19685039370078741" header="0" footer="0"/>
  <pageSetup paperSize="8" scale="76" orientation="landscape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0"/>
  <sheetViews>
    <sheetView view="pageBreakPreview" topLeftCell="C10" zoomScale="60" zoomScaleNormal="55" workbookViewId="0">
      <selection activeCell="AE12" sqref="AE12"/>
    </sheetView>
  </sheetViews>
  <sheetFormatPr defaultColWidth="9.109375" defaultRowHeight="21.6" x14ac:dyDescent="0.45"/>
  <cols>
    <col min="1" max="21" width="10.6640625" style="2" customWidth="1"/>
    <col min="22" max="16384" width="9.109375" style="2"/>
  </cols>
  <sheetData>
    <row r="1" spans="1:21" ht="30" customHeight="1" x14ac:dyDescent="0.6">
      <c r="A1" s="1"/>
      <c r="B1" s="202" t="s">
        <v>61</v>
      </c>
      <c r="C1" s="202"/>
      <c r="D1" s="202"/>
      <c r="E1" s="202"/>
      <c r="F1" s="202"/>
      <c r="G1" s="202"/>
      <c r="H1" s="202"/>
      <c r="I1" s="202"/>
      <c r="J1" s="202"/>
      <c r="L1" s="201" t="s">
        <v>49</v>
      </c>
      <c r="M1" s="201"/>
      <c r="N1" s="201"/>
      <c r="O1" s="201"/>
      <c r="P1" s="149"/>
      <c r="R1" s="200" t="s">
        <v>2</v>
      </c>
      <c r="S1" s="200"/>
      <c r="T1" s="200"/>
      <c r="U1" s="200"/>
    </row>
    <row r="2" spans="1:21" ht="30" customHeight="1" x14ac:dyDescent="0.45">
      <c r="B2" s="203" t="s">
        <v>62</v>
      </c>
      <c r="C2" s="203"/>
      <c r="D2" s="203"/>
      <c r="E2" s="203"/>
      <c r="F2" s="203"/>
      <c r="G2" s="203"/>
      <c r="H2" s="203"/>
      <c r="I2" s="203"/>
      <c r="J2" s="203"/>
    </row>
    <row r="3" spans="1:21" ht="30" customHeight="1" x14ac:dyDescent="0.6">
      <c r="A3" s="346" t="s">
        <v>65</v>
      </c>
      <c r="B3" s="346"/>
      <c r="C3" s="346"/>
      <c r="D3" s="346"/>
      <c r="E3" s="346"/>
      <c r="F3" s="346"/>
      <c r="G3" s="346"/>
      <c r="H3" s="346"/>
      <c r="I3" s="346"/>
      <c r="J3" s="346"/>
      <c r="L3" s="201" t="s">
        <v>44</v>
      </c>
      <c r="M3" s="201"/>
      <c r="N3" s="201"/>
      <c r="O3" s="201"/>
      <c r="P3" s="201"/>
      <c r="R3" s="200" t="s">
        <v>3</v>
      </c>
      <c r="S3" s="200"/>
      <c r="T3" s="200"/>
      <c r="U3" s="200"/>
    </row>
    <row r="4" spans="1:21" ht="30" customHeight="1" x14ac:dyDescent="0.45">
      <c r="A4" s="346"/>
      <c r="B4" s="346"/>
      <c r="C4" s="346"/>
      <c r="D4" s="346"/>
      <c r="E4" s="346"/>
      <c r="F4" s="346"/>
      <c r="G4" s="346"/>
      <c r="H4" s="346"/>
      <c r="I4" s="346"/>
      <c r="J4" s="346"/>
    </row>
    <row r="5" spans="1:21" ht="9.9" customHeight="1" thickBot="1" x14ac:dyDescent="0.5">
      <c r="A5" s="3"/>
      <c r="M5" s="4"/>
      <c r="N5" s="4"/>
    </row>
    <row r="6" spans="1:21" s="14" customFormat="1" ht="30" customHeight="1" thickBot="1" x14ac:dyDescent="0.5">
      <c r="A6" s="340" t="s">
        <v>66</v>
      </c>
      <c r="B6" s="341"/>
      <c r="C6" s="341"/>
      <c r="D6" s="341"/>
      <c r="E6" s="341"/>
      <c r="F6" s="341"/>
      <c r="G6" s="341"/>
      <c r="H6" s="341"/>
      <c r="I6" s="341"/>
      <c r="J6" s="342"/>
      <c r="K6" s="339"/>
      <c r="L6" s="343" t="s">
        <v>67</v>
      </c>
      <c r="M6" s="344"/>
      <c r="N6" s="344"/>
      <c r="O6" s="344"/>
      <c r="P6" s="344"/>
      <c r="Q6" s="344"/>
      <c r="R6" s="344"/>
      <c r="S6" s="344"/>
      <c r="T6" s="344"/>
      <c r="U6" s="345"/>
    </row>
    <row r="7" spans="1:21" s="25" customFormat="1" ht="30" customHeight="1" x14ac:dyDescent="0.35">
      <c r="A7" s="347"/>
      <c r="B7" s="348"/>
      <c r="C7" s="348"/>
      <c r="D7" s="348"/>
      <c r="E7" s="348"/>
      <c r="F7" s="348"/>
      <c r="G7" s="348"/>
      <c r="H7" s="348"/>
      <c r="I7" s="348"/>
      <c r="J7" s="349"/>
      <c r="K7" s="339"/>
      <c r="L7" s="352"/>
      <c r="M7" s="353"/>
      <c r="N7" s="353"/>
      <c r="O7" s="353"/>
      <c r="P7" s="353"/>
      <c r="Q7" s="353"/>
      <c r="R7" s="353"/>
      <c r="S7" s="353"/>
      <c r="T7" s="353"/>
      <c r="U7" s="354"/>
    </row>
    <row r="8" spans="1:21" s="25" customFormat="1" ht="30" customHeight="1" x14ac:dyDescent="0.35">
      <c r="A8" s="350"/>
      <c r="B8" s="339"/>
      <c r="C8" s="339"/>
      <c r="D8" s="339"/>
      <c r="E8" s="339"/>
      <c r="F8" s="339"/>
      <c r="G8" s="339"/>
      <c r="H8" s="339"/>
      <c r="I8" s="339"/>
      <c r="J8" s="351"/>
      <c r="K8" s="339"/>
      <c r="L8" s="355"/>
      <c r="M8" s="356"/>
      <c r="N8" s="356"/>
      <c r="O8" s="356"/>
      <c r="P8" s="356"/>
      <c r="Q8" s="356"/>
      <c r="R8" s="356"/>
      <c r="S8" s="356"/>
      <c r="T8" s="356"/>
      <c r="U8" s="357"/>
    </row>
    <row r="9" spans="1:21" s="25" customFormat="1" ht="30" customHeight="1" x14ac:dyDescent="0.35">
      <c r="A9" s="350"/>
      <c r="B9" s="339"/>
      <c r="C9" s="339"/>
      <c r="D9" s="339"/>
      <c r="E9" s="339"/>
      <c r="F9" s="339"/>
      <c r="G9" s="339"/>
      <c r="H9" s="339"/>
      <c r="I9" s="339"/>
      <c r="J9" s="351"/>
      <c r="K9" s="339"/>
      <c r="L9" s="355"/>
      <c r="M9" s="356"/>
      <c r="N9" s="356"/>
      <c r="O9" s="356"/>
      <c r="P9" s="356"/>
      <c r="Q9" s="356"/>
      <c r="R9" s="356"/>
      <c r="S9" s="356"/>
      <c r="T9" s="356"/>
      <c r="U9" s="357"/>
    </row>
    <row r="10" spans="1:21" s="25" customFormat="1" ht="30" customHeight="1" x14ac:dyDescent="0.35">
      <c r="A10" s="350"/>
      <c r="B10" s="339"/>
      <c r="C10" s="339"/>
      <c r="D10" s="339"/>
      <c r="E10" s="339"/>
      <c r="F10" s="339"/>
      <c r="G10" s="339"/>
      <c r="H10" s="339"/>
      <c r="I10" s="339"/>
      <c r="J10" s="351"/>
      <c r="K10" s="339"/>
      <c r="L10" s="355"/>
      <c r="M10" s="356"/>
      <c r="N10" s="356"/>
      <c r="O10" s="356"/>
      <c r="P10" s="356"/>
      <c r="Q10" s="356"/>
      <c r="R10" s="356"/>
      <c r="S10" s="356"/>
      <c r="T10" s="356"/>
      <c r="U10" s="357"/>
    </row>
    <row r="11" spans="1:21" s="25" customFormat="1" ht="30" customHeight="1" x14ac:dyDescent="0.35">
      <c r="A11" s="350"/>
      <c r="B11" s="339"/>
      <c r="C11" s="339"/>
      <c r="D11" s="339"/>
      <c r="E11" s="339"/>
      <c r="F11" s="339"/>
      <c r="G11" s="339"/>
      <c r="H11" s="339"/>
      <c r="I11" s="339"/>
      <c r="J11" s="351"/>
      <c r="K11" s="339"/>
      <c r="L11" s="355"/>
      <c r="M11" s="356"/>
      <c r="N11" s="356"/>
      <c r="O11" s="356"/>
      <c r="P11" s="356"/>
      <c r="Q11" s="356"/>
      <c r="R11" s="356"/>
      <c r="S11" s="356"/>
      <c r="T11" s="356"/>
      <c r="U11" s="357"/>
    </row>
    <row r="12" spans="1:21" s="25" customFormat="1" ht="30" customHeight="1" x14ac:dyDescent="0.35">
      <c r="A12" s="350"/>
      <c r="B12" s="339"/>
      <c r="C12" s="339"/>
      <c r="D12" s="339"/>
      <c r="E12" s="339"/>
      <c r="F12" s="339"/>
      <c r="G12" s="339"/>
      <c r="H12" s="339"/>
      <c r="I12" s="339"/>
      <c r="J12" s="351"/>
      <c r="K12" s="339"/>
      <c r="L12" s="355"/>
      <c r="M12" s="356"/>
      <c r="N12" s="356"/>
      <c r="O12" s="356"/>
      <c r="P12" s="356"/>
      <c r="Q12" s="356"/>
      <c r="R12" s="356"/>
      <c r="S12" s="356"/>
      <c r="T12" s="356"/>
      <c r="U12" s="357"/>
    </row>
    <row r="13" spans="1:21" s="25" customFormat="1" ht="30" customHeight="1" x14ac:dyDescent="0.35">
      <c r="A13" s="350"/>
      <c r="B13" s="339"/>
      <c r="C13" s="339"/>
      <c r="D13" s="339"/>
      <c r="E13" s="339"/>
      <c r="F13" s="339"/>
      <c r="G13" s="339"/>
      <c r="H13" s="339"/>
      <c r="I13" s="339"/>
      <c r="J13" s="351"/>
      <c r="K13" s="339"/>
      <c r="L13" s="355"/>
      <c r="M13" s="356"/>
      <c r="N13" s="356"/>
      <c r="O13" s="356"/>
      <c r="P13" s="356"/>
      <c r="Q13" s="356"/>
      <c r="R13" s="356"/>
      <c r="S13" s="356"/>
      <c r="T13" s="356"/>
      <c r="U13" s="357"/>
    </row>
    <row r="14" spans="1:21" s="25" customFormat="1" ht="30" customHeight="1" x14ac:dyDescent="0.35">
      <c r="A14" s="350"/>
      <c r="B14" s="339"/>
      <c r="C14" s="339"/>
      <c r="D14" s="339"/>
      <c r="E14" s="339"/>
      <c r="F14" s="339"/>
      <c r="G14" s="339"/>
      <c r="H14" s="339"/>
      <c r="I14" s="339"/>
      <c r="J14" s="351"/>
      <c r="K14" s="339"/>
      <c r="L14" s="355"/>
      <c r="M14" s="356"/>
      <c r="N14" s="356"/>
      <c r="O14" s="356"/>
      <c r="P14" s="356"/>
      <c r="Q14" s="356"/>
      <c r="R14" s="356"/>
      <c r="S14" s="356"/>
      <c r="T14" s="356"/>
      <c r="U14" s="357"/>
    </row>
    <row r="15" spans="1:21" s="25" customFormat="1" ht="30" customHeight="1" x14ac:dyDescent="0.35">
      <c r="A15" s="350"/>
      <c r="B15" s="339"/>
      <c r="C15" s="339"/>
      <c r="D15" s="339"/>
      <c r="E15" s="339"/>
      <c r="F15" s="339"/>
      <c r="G15" s="339"/>
      <c r="H15" s="339"/>
      <c r="I15" s="339"/>
      <c r="J15" s="351"/>
      <c r="K15" s="339"/>
      <c r="L15" s="355"/>
      <c r="M15" s="356"/>
      <c r="N15" s="356"/>
      <c r="O15" s="356"/>
      <c r="P15" s="356"/>
      <c r="Q15" s="356"/>
      <c r="R15" s="356"/>
      <c r="S15" s="356"/>
      <c r="T15" s="356"/>
      <c r="U15" s="357"/>
    </row>
    <row r="16" spans="1:21" s="25" customFormat="1" ht="30" customHeight="1" x14ac:dyDescent="0.35">
      <c r="A16" s="350"/>
      <c r="B16" s="339"/>
      <c r="C16" s="339"/>
      <c r="D16" s="339"/>
      <c r="E16" s="339"/>
      <c r="F16" s="339"/>
      <c r="G16" s="339"/>
      <c r="H16" s="339"/>
      <c r="I16" s="339"/>
      <c r="J16" s="351"/>
      <c r="K16" s="339"/>
      <c r="L16" s="355"/>
      <c r="M16" s="356"/>
      <c r="N16" s="356"/>
      <c r="O16" s="356"/>
      <c r="P16" s="356"/>
      <c r="Q16" s="356"/>
      <c r="R16" s="356"/>
      <c r="S16" s="356"/>
      <c r="T16" s="356"/>
      <c r="U16" s="357"/>
    </row>
    <row r="17" spans="1:21" s="25" customFormat="1" ht="30" customHeight="1" x14ac:dyDescent="0.35">
      <c r="A17" s="350"/>
      <c r="B17" s="339"/>
      <c r="C17" s="339"/>
      <c r="D17" s="339"/>
      <c r="E17" s="339"/>
      <c r="F17" s="339"/>
      <c r="G17" s="339"/>
      <c r="H17" s="339"/>
      <c r="I17" s="339"/>
      <c r="J17" s="351"/>
      <c r="K17" s="339"/>
      <c r="L17" s="355"/>
      <c r="M17" s="356"/>
      <c r="N17" s="356"/>
      <c r="O17" s="356"/>
      <c r="P17" s="356"/>
      <c r="Q17" s="356"/>
      <c r="R17" s="356"/>
      <c r="S17" s="356"/>
      <c r="T17" s="356"/>
      <c r="U17" s="357"/>
    </row>
    <row r="18" spans="1:21" s="25" customFormat="1" ht="30" customHeight="1" x14ac:dyDescent="0.35">
      <c r="A18" s="350"/>
      <c r="B18" s="339"/>
      <c r="C18" s="339"/>
      <c r="D18" s="339"/>
      <c r="E18" s="339"/>
      <c r="F18" s="339"/>
      <c r="G18" s="339"/>
      <c r="H18" s="339"/>
      <c r="I18" s="339"/>
      <c r="J18" s="351"/>
      <c r="K18" s="339"/>
      <c r="L18" s="355"/>
      <c r="M18" s="356"/>
      <c r="N18" s="356"/>
      <c r="O18" s="356"/>
      <c r="P18" s="356"/>
      <c r="Q18" s="356"/>
      <c r="R18" s="356"/>
      <c r="S18" s="356"/>
      <c r="T18" s="356"/>
      <c r="U18" s="357"/>
    </row>
    <row r="19" spans="1:21" s="25" customFormat="1" ht="30" customHeight="1" x14ac:dyDescent="0.35">
      <c r="A19" s="350"/>
      <c r="B19" s="339"/>
      <c r="C19" s="339"/>
      <c r="D19" s="339"/>
      <c r="E19" s="339"/>
      <c r="F19" s="339"/>
      <c r="G19" s="339"/>
      <c r="H19" s="339"/>
      <c r="I19" s="339"/>
      <c r="J19" s="351"/>
      <c r="K19" s="339"/>
      <c r="L19" s="355"/>
      <c r="M19" s="356"/>
      <c r="N19" s="356"/>
      <c r="O19" s="356"/>
      <c r="P19" s="356"/>
      <c r="Q19" s="356"/>
      <c r="R19" s="356"/>
      <c r="S19" s="356"/>
      <c r="T19" s="356"/>
      <c r="U19" s="357"/>
    </row>
    <row r="20" spans="1:21" s="25" customFormat="1" ht="30" customHeight="1" thickBot="1" x14ac:dyDescent="0.4">
      <c r="A20" s="350"/>
      <c r="B20" s="339"/>
      <c r="C20" s="339"/>
      <c r="D20" s="339"/>
      <c r="E20" s="339"/>
      <c r="F20" s="339"/>
      <c r="G20" s="339"/>
      <c r="H20" s="339"/>
      <c r="I20" s="339"/>
      <c r="J20" s="351"/>
      <c r="K20" s="339"/>
      <c r="L20" s="355"/>
      <c r="M20" s="356"/>
      <c r="N20" s="356"/>
      <c r="O20" s="356"/>
      <c r="P20" s="356"/>
      <c r="Q20" s="356"/>
      <c r="R20" s="356"/>
      <c r="S20" s="356"/>
      <c r="T20" s="356"/>
      <c r="U20" s="357"/>
    </row>
    <row r="21" spans="1:21" s="25" customFormat="1" ht="30" customHeight="1" x14ac:dyDescent="0.7">
      <c r="A21" s="155" t="s">
        <v>68</v>
      </c>
      <c r="B21" s="152"/>
      <c r="C21" s="152"/>
      <c r="D21" s="152"/>
      <c r="E21" s="152"/>
      <c r="F21" s="152"/>
      <c r="G21" s="152"/>
      <c r="H21" s="152"/>
      <c r="I21" s="152"/>
      <c r="J21" s="153"/>
      <c r="K21" s="339"/>
      <c r="L21" s="155" t="s">
        <v>69</v>
      </c>
      <c r="M21" s="152"/>
      <c r="N21" s="152"/>
      <c r="O21" s="152"/>
      <c r="P21" s="152"/>
      <c r="Q21" s="152"/>
      <c r="R21" s="152"/>
      <c r="S21" s="152"/>
      <c r="T21" s="152"/>
      <c r="U21" s="153"/>
    </row>
    <row r="22" spans="1:21" s="25" customFormat="1" ht="30" customHeight="1" thickBot="1" x14ac:dyDescent="0.5">
      <c r="A22" s="150"/>
      <c r="B22" s="151"/>
      <c r="C22" s="151"/>
      <c r="D22" s="151"/>
      <c r="E22" s="151"/>
      <c r="F22" s="151"/>
      <c r="G22" s="151"/>
      <c r="H22" s="151"/>
      <c r="I22" s="151"/>
      <c r="J22" s="154"/>
      <c r="K22" s="339"/>
      <c r="L22" s="150"/>
      <c r="M22" s="151"/>
      <c r="N22" s="151"/>
      <c r="O22" s="151"/>
      <c r="P22" s="151"/>
      <c r="Q22" s="151"/>
      <c r="R22" s="151"/>
      <c r="S22" s="151"/>
      <c r="T22" s="151"/>
      <c r="U22" s="154"/>
    </row>
    <row r="23" spans="1:21" s="25" customFormat="1" ht="10.5" customHeight="1" thickBot="1" x14ac:dyDescent="0.4">
      <c r="B23" s="39"/>
      <c r="C23" s="39"/>
      <c r="D23" s="39"/>
      <c r="E23" s="156"/>
      <c r="F23" s="39"/>
      <c r="G23" s="39"/>
      <c r="H23" s="39"/>
      <c r="I23" s="39"/>
      <c r="J23" s="39"/>
      <c r="K23" s="39"/>
      <c r="L23" s="39"/>
      <c r="M23" s="48"/>
      <c r="N23" s="48"/>
      <c r="O23" s="48"/>
      <c r="P23" s="48"/>
      <c r="Q23" s="39"/>
    </row>
    <row r="24" spans="1:21" s="25" customFormat="1" ht="30" customHeight="1" x14ac:dyDescent="0.65">
      <c r="A24" s="367" t="s">
        <v>54</v>
      </c>
      <c r="B24" s="368"/>
      <c r="C24" s="368"/>
      <c r="D24" s="368"/>
      <c r="E24" s="368"/>
      <c r="F24" s="369"/>
      <c r="G24" s="158">
        <v>1</v>
      </c>
      <c r="H24" s="158">
        <v>2</v>
      </c>
      <c r="I24" s="158">
        <v>3</v>
      </c>
      <c r="J24" s="158">
        <v>4</v>
      </c>
      <c r="K24" s="158">
        <v>5</v>
      </c>
      <c r="L24" s="365" t="s">
        <v>71</v>
      </c>
      <c r="M24" s="365"/>
      <c r="N24" s="159" t="s">
        <v>72</v>
      </c>
      <c r="O24" s="157"/>
      <c r="P24" s="358" t="s">
        <v>70</v>
      </c>
      <c r="Q24" s="359"/>
      <c r="R24" s="359"/>
      <c r="S24" s="359"/>
      <c r="T24" s="359"/>
      <c r="U24" s="360"/>
    </row>
    <row r="25" spans="1:21" ht="30" customHeight="1" thickBot="1" x14ac:dyDescent="0.5">
      <c r="A25" s="364"/>
      <c r="B25" s="364"/>
      <c r="C25" s="364"/>
      <c r="D25" s="364"/>
      <c r="E25" s="364"/>
      <c r="F25" s="364"/>
      <c r="G25" s="160"/>
      <c r="H25" s="160"/>
      <c r="I25" s="160"/>
      <c r="J25" s="160"/>
      <c r="K25" s="160"/>
      <c r="L25" s="366"/>
      <c r="M25" s="366"/>
      <c r="N25" s="160"/>
      <c r="P25" s="361"/>
      <c r="Q25" s="362"/>
      <c r="R25" s="362"/>
      <c r="S25" s="362"/>
      <c r="T25" s="362"/>
      <c r="U25" s="363"/>
    </row>
    <row r="26" spans="1:21" ht="30" customHeight="1" x14ac:dyDescent="0.45">
      <c r="A26" s="364"/>
      <c r="B26" s="364"/>
      <c r="C26" s="364"/>
      <c r="D26" s="364"/>
      <c r="E26" s="364"/>
      <c r="F26" s="364"/>
      <c r="G26" s="160"/>
      <c r="H26" s="160"/>
      <c r="I26" s="160"/>
      <c r="J26" s="160"/>
      <c r="K26" s="160"/>
      <c r="L26" s="366"/>
      <c r="M26" s="366"/>
      <c r="N26" s="160"/>
      <c r="P26" s="161"/>
      <c r="U26" s="162"/>
    </row>
    <row r="27" spans="1:21" ht="30" customHeight="1" x14ac:dyDescent="0.45">
      <c r="A27" s="364"/>
      <c r="B27" s="364"/>
      <c r="C27" s="364"/>
      <c r="D27" s="364"/>
      <c r="E27" s="364"/>
      <c r="F27" s="364"/>
      <c r="G27" s="160"/>
      <c r="H27" s="160"/>
      <c r="I27" s="160"/>
      <c r="J27" s="160"/>
      <c r="K27" s="160"/>
      <c r="L27" s="366"/>
      <c r="M27" s="366"/>
      <c r="N27" s="160"/>
      <c r="P27" s="161"/>
      <c r="U27" s="162"/>
    </row>
    <row r="28" spans="1:21" ht="30" customHeight="1" x14ac:dyDescent="0.45">
      <c r="A28" s="364"/>
      <c r="B28" s="364"/>
      <c r="C28" s="364"/>
      <c r="D28" s="364"/>
      <c r="E28" s="364"/>
      <c r="F28" s="364"/>
      <c r="G28" s="160"/>
      <c r="H28" s="160"/>
      <c r="I28" s="160"/>
      <c r="J28" s="160"/>
      <c r="K28" s="160"/>
      <c r="L28" s="366"/>
      <c r="M28" s="366"/>
      <c r="N28" s="160"/>
      <c r="P28" s="161"/>
      <c r="U28" s="162"/>
    </row>
    <row r="29" spans="1:21" ht="30" customHeight="1" x14ac:dyDescent="0.45">
      <c r="A29" s="364"/>
      <c r="B29" s="364"/>
      <c r="C29" s="364"/>
      <c r="D29" s="364"/>
      <c r="E29" s="364"/>
      <c r="F29" s="364"/>
      <c r="G29" s="160"/>
      <c r="H29" s="160"/>
      <c r="I29" s="160"/>
      <c r="J29" s="160"/>
      <c r="K29" s="160"/>
      <c r="L29" s="366"/>
      <c r="M29" s="366"/>
      <c r="N29" s="160"/>
      <c r="P29" s="161"/>
      <c r="U29" s="162"/>
    </row>
    <row r="30" spans="1:21" ht="30" customHeight="1" thickBot="1" x14ac:dyDescent="0.5">
      <c r="A30" s="364"/>
      <c r="B30" s="364"/>
      <c r="C30" s="364"/>
      <c r="D30" s="364"/>
      <c r="E30" s="364"/>
      <c r="F30" s="364"/>
      <c r="G30" s="160"/>
      <c r="H30" s="160"/>
      <c r="I30" s="160"/>
      <c r="J30" s="160"/>
      <c r="K30" s="160"/>
      <c r="L30" s="366"/>
      <c r="M30" s="366"/>
      <c r="N30" s="160"/>
      <c r="P30" s="163"/>
      <c r="Q30" s="5"/>
      <c r="R30" s="5"/>
      <c r="S30" s="5"/>
      <c r="T30" s="5"/>
      <c r="U30" s="164"/>
    </row>
  </sheetData>
  <mergeCells count="27">
    <mergeCell ref="P24:U25"/>
    <mergeCell ref="A30:F30"/>
    <mergeCell ref="L24:M24"/>
    <mergeCell ref="L25:M25"/>
    <mergeCell ref="L26:M26"/>
    <mergeCell ref="L27:M27"/>
    <mergeCell ref="L28:M28"/>
    <mergeCell ref="L29:M29"/>
    <mergeCell ref="L30:M30"/>
    <mergeCell ref="A24:F24"/>
    <mergeCell ref="A25:F25"/>
    <mergeCell ref="A26:F26"/>
    <mergeCell ref="A27:F27"/>
    <mergeCell ref="A28:F28"/>
    <mergeCell ref="A29:F29"/>
    <mergeCell ref="K6:K22"/>
    <mergeCell ref="A6:J6"/>
    <mergeCell ref="L6:U6"/>
    <mergeCell ref="A3:J4"/>
    <mergeCell ref="A7:J20"/>
    <mergeCell ref="L7:U20"/>
    <mergeCell ref="R1:U1"/>
    <mergeCell ref="R3:U3"/>
    <mergeCell ref="L1:O1"/>
    <mergeCell ref="L3:P3"/>
    <mergeCell ref="B1:J1"/>
    <mergeCell ref="B2:J2"/>
  </mergeCells>
  <pageMargins left="0.2" right="0.19685039370078741" top="0.3" bottom="0" header="0" footer="0.38"/>
  <pageSetup paperSize="9" scale="6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ตารางจับเวลา</vt:lpstr>
      <vt:lpstr>Machine Capacity Sheet</vt:lpstr>
      <vt:lpstr>std.com table</vt:lpstr>
      <vt:lpstr>std.work chart</vt:lpstr>
      <vt:lpstr>yamazumi chart</vt:lpstr>
      <vt:lpstr>kaizen</vt:lpstr>
      <vt:lpstr>'Machine Capacity Sheet'!Print_Area</vt:lpstr>
      <vt:lpstr>'std.com table'!Print_Area</vt:lpstr>
      <vt:lpstr>'yamazumi chart'!Print_Area</vt:lpstr>
      <vt:lpstr>ตารางจับเวลา!Print_Area</vt:lpstr>
    </vt:vector>
  </TitlesOfParts>
  <Company>Summit Corperation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a1500041</dc:creator>
  <cp:lastModifiedBy>Anan Matpanang</cp:lastModifiedBy>
  <cp:lastPrinted>2023-03-01T08:37:42Z</cp:lastPrinted>
  <dcterms:created xsi:type="dcterms:W3CDTF">2009-06-10T08:58:49Z</dcterms:created>
  <dcterms:modified xsi:type="dcterms:W3CDTF">2023-03-01T08:44:53Z</dcterms:modified>
</cp:coreProperties>
</file>